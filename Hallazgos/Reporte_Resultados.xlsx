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r Ruiz\Downloads\"/>
    </mc:Choice>
  </mc:AlternateContent>
  <xr:revisionPtr revIDLastSave="0" documentId="13_ncr:1_{D46AAD05-C40A-4739-86FD-632ABEDE38F0}" xr6:coauthVersionLast="47" xr6:coauthVersionMax="47" xr10:uidLastSave="{00000000-0000-0000-0000-000000000000}"/>
  <bookViews>
    <workbookView xWindow="-120" yWindow="-120" windowWidth="20730" windowHeight="11040" firstSheet="1" activeTab="3" xr2:uid="{38CF07C0-05F3-443C-BA5C-BC402F9F51C0}"/>
  </bookViews>
  <sheets>
    <sheet name="CasosPrueba" sheetId="3" r:id="rId1"/>
    <sheet name="Reporte formal-plantilla" sheetId="8" r:id="rId2"/>
    <sheet name="Plantilla de Endpoint Evaluado" sheetId="10" r:id="rId3"/>
    <sheet name="Resumen_Ejecutiv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8" i="10" l="1"/>
  <c r="Q20" i="10"/>
  <c r="Q10" i="10"/>
  <c r="H25" i="10"/>
  <c r="H17" i="10"/>
  <c r="H8" i="10"/>
  <c r="R28" i="10"/>
  <c r="P28" i="10"/>
  <c r="O28" i="10"/>
  <c r="N28" i="10"/>
  <c r="R20" i="10"/>
  <c r="P20" i="10"/>
  <c r="O20" i="10"/>
  <c r="N20" i="10"/>
  <c r="R10" i="10"/>
  <c r="P10" i="10"/>
  <c r="O10" i="10"/>
  <c r="N10" i="10"/>
  <c r="I25" i="10"/>
  <c r="G25" i="10"/>
  <c r="F25" i="10"/>
  <c r="E25" i="10"/>
  <c r="I17" i="10"/>
  <c r="G17" i="10"/>
  <c r="F17" i="10"/>
  <c r="E17" i="10"/>
  <c r="I8" i="10"/>
  <c r="G8" i="10"/>
  <c r="F8" i="10"/>
  <c r="E8" i="10"/>
</calcChain>
</file>

<file path=xl/sharedStrings.xml><?xml version="1.0" encoding="utf-8"?>
<sst xmlns="http://schemas.openxmlformats.org/spreadsheetml/2006/main" count="1161" uniqueCount="338">
  <si>
    <t>Modulo:</t>
  </si>
  <si>
    <t>CP-01</t>
  </si>
  <si>
    <t>Técnica de Diseño</t>
  </si>
  <si>
    <t>ID</t>
  </si>
  <si>
    <t>Historia de Usuario</t>
  </si>
  <si>
    <t>Escenario Gherkin</t>
  </si>
  <si>
    <t>CP-02</t>
  </si>
  <si>
    <t>CP-03</t>
  </si>
  <si>
    <t>CP-05</t>
  </si>
  <si>
    <t>DEF-01</t>
  </si>
  <si>
    <t>Titulo</t>
  </si>
  <si>
    <t>Reproducir</t>
  </si>
  <si>
    <t>Ambiente</t>
  </si>
  <si>
    <t>Severidad</t>
  </si>
  <si>
    <t>Prioridad</t>
  </si>
  <si>
    <t>Estado</t>
  </si>
  <si>
    <t>Media</t>
  </si>
  <si>
    <t>Nuevo</t>
  </si>
  <si>
    <t>DEF-02</t>
  </si>
  <si>
    <t>Alta</t>
  </si>
  <si>
    <t>Resumen de Ejecución</t>
  </si>
  <si>
    <t>PROYECTO</t>
  </si>
  <si>
    <t>FECHA</t>
  </si>
  <si>
    <t>RESPONSABLE</t>
  </si>
  <si>
    <t>VERSIÓN</t>
  </si>
  <si>
    <t>1.0</t>
  </si>
  <si>
    <t xml:space="preserve">ID </t>
  </si>
  <si>
    <t>Escenario</t>
  </si>
  <si>
    <t>Defecto Asociado</t>
  </si>
  <si>
    <t>CP-04</t>
  </si>
  <si>
    <t>Exitosa</t>
  </si>
  <si>
    <t>Fallida</t>
  </si>
  <si>
    <t>N/A</t>
  </si>
  <si>
    <t>Detalles de defectos</t>
  </si>
  <si>
    <t>Tipo</t>
  </si>
  <si>
    <t>Valor</t>
  </si>
  <si>
    <t>Total de casos ejecutados</t>
  </si>
  <si>
    <t>Casos exitosos</t>
  </si>
  <si>
    <t>Casos fallidos</t>
  </si>
  <si>
    <t>Defectos encontrados</t>
  </si>
  <si>
    <t>Defectos de severidad alta</t>
  </si>
  <si>
    <t>Defectos de severidad media</t>
  </si>
  <si>
    <t xml:space="preserve">Formato </t>
  </si>
  <si>
    <t>Christopher Ruiz Calderón</t>
  </si>
  <si>
    <t>Ejecución de casos de prueba</t>
  </si>
  <si>
    <t>Métricas</t>
  </si>
  <si>
    <t>Métrica</t>
  </si>
  <si>
    <t>Redacción</t>
  </si>
  <si>
    <t>Transferencia de Fondos</t>
  </si>
  <si>
    <t>Clases de Equivalencia / Valores Límite</t>
  </si>
  <si>
    <t>ParaBank</t>
  </si>
  <si>
    <t>Transferencia de fondos entre cuentas propias</t>
  </si>
  <si>
    <t>Pago de factura a un comercio</t>
  </si>
  <si>
    <t>Solicitud de préstamo aprobada</t>
  </si>
  <si>
    <t>Búsqueda de transacciones por rango de fechas</t>
  </si>
  <si>
    <t>Actualización de información de contacto</t>
  </si>
  <si>
    <t>Pago de factura no descuenta saldo ni genera registro en Account Activity</t>
  </si>
  <si>
    <t>Solicitud de préstamo rechazada por saldo insuficiente a pesar de tener $1000 en la cuenta</t>
  </si>
  <si>
    <t>Funcional</t>
  </si>
  <si>
    <t>Verificar que el sistema permita transferir fondos exitosamente entre cuentas propias, actualizando los saldos correctamente.</t>
  </si>
  <si>
    <t>Verificar que el sistema procese correctamente el pago de una factura, descontando el monto de la cuenta y generando un registro en Account Activity.</t>
  </si>
  <si>
    <t xml:space="preserve">	Verificar que el sistema apruebe una solicitud de préstamo cuando el usuario tiene saldo suficiente para el down payment.</t>
  </si>
  <si>
    <t>Verificar que el sistema muestre las transacciones correctas al buscar por un rango de fechas específico.</t>
  </si>
  <si>
    <t>Verificar que el sistema permita actualizar la información de contacto y que los cambios persistan.</t>
  </si>
  <si>
    <t>Campo</t>
  </si>
  <si>
    <t>Descripcion</t>
  </si>
  <si>
    <t>Fecha Reporte</t>
  </si>
  <si>
    <t>Reportado Por</t>
  </si>
  <si>
    <t>Modulo/Endpoint</t>
  </si>
  <si>
    <t>Tipo de Prueba</t>
  </si>
  <si>
    <t>Datos de Entrada</t>
  </si>
  <si>
    <t>Resultado Esperado</t>
  </si>
  <si>
    <t>Evidencia</t>
  </si>
  <si>
    <t>Endpoint</t>
  </si>
  <si>
    <t>Método</t>
  </si>
  <si>
    <t># Pruebas</t>
  </si>
  <si>
    <t># Exitosas</t>
  </si>
  <si>
    <t># Fallidas</t>
  </si>
  <si>
    <t>Tiempo Prom (Ms)</t>
  </si>
  <si>
    <t>POST</t>
  </si>
  <si>
    <t>GET</t>
  </si>
  <si>
    <t>PUT</t>
  </si>
  <si>
    <t>PATCH</t>
  </si>
  <si>
    <t>DELETE</t>
  </si>
  <si>
    <t>Ping</t>
  </si>
  <si>
    <t>ObtenerBooking</t>
  </si>
  <si>
    <t>GenerarToken</t>
  </si>
  <si>
    <t>ObtenerBookingID</t>
  </si>
  <si>
    <t>Total</t>
  </si>
  <si>
    <t>-</t>
  </si>
  <si>
    <t>Pruebas Humo</t>
  </si>
  <si>
    <t>Pruebas CRUD</t>
  </si>
  <si>
    <t>CrearBooking</t>
  </si>
  <si>
    <t>ConsultarBooking</t>
  </si>
  <si>
    <t>ActualizarBooking</t>
  </si>
  <si>
    <t>EliminarBooking</t>
  </si>
  <si>
    <t>Pruebas Contrato</t>
  </si>
  <si>
    <t>ValidarSchemaBooking</t>
  </si>
  <si>
    <t>ValidarSchemaLista</t>
  </si>
  <si>
    <t>NoExsiteBookingID</t>
  </si>
  <si>
    <t>PayloadInvalido</t>
  </si>
  <si>
    <t>JSONMalFormado</t>
  </si>
  <si>
    <t>PUTSinBody</t>
  </si>
  <si>
    <t>MetodoNoPermitido</t>
  </si>
  <si>
    <t>DELETESinToken</t>
  </si>
  <si>
    <t>Pruebas Negativas</t>
  </si>
  <si>
    <t>PUTSinAutenticacion</t>
  </si>
  <si>
    <t>PATCHSinAutenticacion</t>
  </si>
  <si>
    <t>DELETESinAutenticacion</t>
  </si>
  <si>
    <t>PUTTokenInvalido</t>
  </si>
  <si>
    <t>DELETETokenInvalido</t>
  </si>
  <si>
    <t>Pruebas Seguridad</t>
  </si>
  <si>
    <t>Pruebas Rendimiento</t>
  </si>
  <si>
    <t>GETBooking</t>
  </si>
  <si>
    <t>GETIDBooking</t>
  </si>
  <si>
    <t>POSTBooking</t>
  </si>
  <si>
    <t>Prueba Integracion</t>
  </si>
  <si>
    <t>ComprobarIntegracion</t>
  </si>
  <si>
    <t>POST-GET-PUT-DELETE</t>
  </si>
  <si>
    <t>Llenar 26 fichas</t>
  </si>
  <si>
    <t>Cambiar esto</t>
  </si>
  <si>
    <t>Prueba</t>
  </si>
  <si>
    <t>https://restful-booker.herokuapp.com</t>
  </si>
  <si>
    <t>Poner link en cada ficha</t>
  </si>
  <si>
    <t>Postman</t>
  </si>
  <si>
    <t>JSON- Javascript</t>
  </si>
  <si>
    <t>Diego Rodríguez</t>
  </si>
  <si>
    <t>Humo</t>
  </si>
  <si>
    <t>Status 201</t>
  </si>
  <si>
    <t>IMG01</t>
  </si>
  <si>
    <t xml:space="preserve">•	Crear carpeta del tipo de prueba que se realizará
•	Crear Request de la prueba en Postman 
•	Seleccionar Run en la carpeta
•	Seleccionar el Request que se desea hacer la prueba
•	Agregar el número de Iteraciones que se realizan </t>
  </si>
  <si>
    <t>Relizado</t>
  </si>
  <si>
    <t>Funcionalidad: Verificar disponibilidad de la API
Como: tester QA
Quiero: validar que el servicio responda correctamente
Para: asegurar que el sistema está operativo</t>
  </si>
  <si>
    <t>Escenario: Verificar Ping API exitosamente
Dado: que la API Restful Booker está desplegada
Cuando: se envía una petición GET al endpoint /ping
Entonces: el sistema responde con código 201</t>
  </si>
  <si>
    <t>Clases de Equivalencia / Smoke Testing</t>
  </si>
  <si>
    <t>Funcionalidad: Consultar reservas registradas
Como: tester QA
Quiero: obtener bookings existentes
Para: validar conectividad con datos disponibles</t>
  </si>
  <si>
    <t>Escenario: Obtener listado de bookings
Dado: que existen reservas registradas
Cuando: se envía una petición GET al endpoint /booking
Entonces: el sistema responde con código 200
Y retorna una lista de bookingId</t>
  </si>
  <si>
    <t>Funcionalidad: Consultar booking por ID
Como: tester QA
Quiero: validar acceso a una reserva específica
Para: comprobar funcionamiento básico del endpoint</t>
  </si>
  <si>
    <t>Escenario: Obtener booking por ID válido
Dado: que existe una reserva con ID válido
Cuando: se envía una petición GET al endpoint /booking/{id}
Entonces: el sistema responde con código 200</t>
  </si>
  <si>
    <t>Funcionalidad: Generar token de autenticación
Como: usuario administrador
Quiero: autenticarme en la API
Para: realizar operaciones protegidas</t>
  </si>
  <si>
    <t>Escenario: Generar token exitosamente
Dado: que el usuario ingresa credenciales válidas
Cuando: se envía una petición POST al endpoint /auth
Entonces: el sistema responde con código 200
Y retorna un token válido</t>
  </si>
  <si>
    <t>Clases de Equivalencia / CRUD Positivo</t>
  </si>
  <si>
    <t xml:space="preserve">
Funcionalidad: Crear reserva
Como: usuario del sistema
Quiero: registrar una nueva reserva
Para: almacenar datos de hospedaje</t>
  </si>
  <si>
    <t>Escenario: Crear booking exitosamente
Dado: que el usuario ingresa datos válidos
Cuando: se envía una petición POST al endpoint /booking
Entonces: el sistema responde con código 200
Y genera un bookingId</t>
  </si>
  <si>
    <t>Funcionalidad: Consultar reserva existente
Como: usuario del sistema
Quiero: visualizar una reserva registrada
Para: validar persistencia de datos</t>
  </si>
  <si>
    <t>Escenario: Consultar booking existente
Dado: que existe una reserva válida
Cuando: se envía una petición GET al endpoint /booking/{id}
Entonces: el sistema responde con código 200</t>
  </si>
  <si>
    <t>Funcionalidad: Actualizar reserva completa
Como: usuario autenticado
Quiero: modificar datos de una reserva
Para: mantener información actualizada</t>
  </si>
  <si>
    <t>Escenario: Actualizar booking con PUT
Dado: que existe una reserva válida
Y el usuario posee token válido
Cuando: se envía una petición PUT al endpoint /booking/{id}
Entonces: el sistema responde con código 200</t>
  </si>
  <si>
    <t>Seguridad Básica / Smoke Testing</t>
  </si>
  <si>
    <t>Funcionalidad: Eliminar reserva
Como: usuario autenticado
Quiero: borrar booking existente
Para: remover registros</t>
  </si>
  <si>
    <t>Escenario: Eliminar booking exitosamente
Dado: que existe booking válido
Y se posee token válido
Cuando: se envía DELETE /booking/{id}
Entonces: responde 201</t>
  </si>
  <si>
    <t>Contrato / Validación JSON</t>
  </si>
  <si>
    <t>Funcionalidad: Validar schema booking
Como: tester QA
Quiero: comprobar estructura JSON
Para: asegurar compatibilidad</t>
  </si>
  <si>
    <t>Escenario: Validar schema booking
Dado: que existe una reserva válida
Cuando: se consulta /booking/{id}
Entonces: el JSON contiene firstname, lastname, totalprice y bookingdates</t>
  </si>
  <si>
    <t>Validación de Esquema / Contrato</t>
  </si>
  <si>
    <t>Funcionalidad: Validar listado de bookings
Como: tester QA
Quiero: comprobar estructura de lista JSON
Para: validar respuesta del endpoint general</t>
  </si>
  <si>
    <t>Escenario: Validar schema lista bookings
Dado: que existen reservas registradas
Cuando: se consulta /booking
Entonces: la respuesta retorna objetos con bookingId</t>
  </si>
  <si>
    <t>Validación de Tipos de Datos</t>
  </si>
  <si>
    <t>Funcionalidad: Verificar tipos de datos JSON
Como: tester QA
Quiero: validar tipos correctos en la respuesta
Para: evitar errores de integración</t>
  </si>
  <si>
    <t>Escenario: Validar tipos de datos
Dado: que existe una reserva válida
Cuando: se consulta /booking/{id}
Entonces: firstname es string
Y totalprice es number</t>
  </si>
  <si>
    <t>Funcionalidad: Manejo de ID inexistente
Como: tester QA
Quiero: consultar una reserva inválida
Para: validar error controlado</t>
  </si>
  <si>
    <t>CP-06</t>
  </si>
  <si>
    <t>CP-07</t>
  </si>
  <si>
    <t>CP-08</t>
  </si>
  <si>
    <t>CP-11</t>
  </si>
  <si>
    <t>CP-12</t>
  </si>
  <si>
    <t>CP-13</t>
  </si>
  <si>
    <t>Escenario: Booking ID inexistente
Dado: que no existe una reserva con ID consultado
Cuando: se envía GET /booking/{id}
Entonces: el sistema responde 404</t>
  </si>
  <si>
    <t>CP-09</t>
  </si>
  <si>
    <t>Adivinación de errores</t>
  </si>
  <si>
    <t>Clases de Equivalencia Negativa</t>
  </si>
  <si>
    <t>Funcionalidad: Validar payload inválido
Como: tester QA
Quiero: enviar datos erróneos
Para: verificar robustez de la API</t>
  </si>
  <si>
    <t>Escenario: Crear booking con payload inválido
Dado: que firstname es numérico y lastname booleano
Cuando: se envía POST /booking
Entonces: la API responde con error controlado</t>
  </si>
  <si>
    <t>CP-14</t>
  </si>
  <si>
    <t>Negativa / Sintaxis</t>
  </si>
  <si>
    <t>Funcionalidad: Validar JSON mal formado
Como: tester QA
Quiero: enviar JSON inválido
Para: comprobar validación de entrada</t>
  </si>
  <si>
    <t>Escenario: Enviar JSON mal formado
Dado: que el body tiene estructura inválida
Cuando: se envía POST /booking
Entonces: la API rechaza la solicitud</t>
  </si>
  <si>
    <t>CP-15</t>
  </si>
  <si>
    <t>Negativa</t>
  </si>
  <si>
    <t>Funcionalidad: Actualización sin body
Como: tester QA
Quiero: enviar PUT vacío
Para: validar manejo de errores</t>
  </si>
  <si>
    <t>Escenario: PUT sin body
Dado: que existe una reserva válida
Cuando: se envía PUT /booking/{id} sin contenido
Entonces: la API responde con error</t>
  </si>
  <si>
    <t>Funcionalidad: Método no permitido
Como: tester QA
Quiero: usar verbo HTTP inválido
Para: validar restricciones del endpoint</t>
  </si>
  <si>
    <t>CP-16</t>
  </si>
  <si>
    <t>Escenario: Método no permitido
Dado: que el endpoint no admite el método enviado
Cuando: se ejecuta la petición
Entonces: la API responde 405</t>
  </si>
  <si>
    <t>CP-17</t>
  </si>
  <si>
    <t>Seguridad Básica</t>
  </si>
  <si>
    <t>Funcionalidad: Proteger operaciones sensibles
Como: administrador del sistema
Quiero: exigir autenticación
Para: evitar accesos no autorizados</t>
  </si>
  <si>
    <t>Escenario: PUT sin autenticación
Dado: que no se envía token válido
Cuando: se ejecuta PUT /booking/{id}
Entonces: la API responde 403</t>
  </si>
  <si>
    <t>CP-18</t>
  </si>
  <si>
    <t>CP-19</t>
  </si>
  <si>
    <t>CP-20</t>
  </si>
  <si>
    <t>Funcionalidad: Validar token inválido
Como: tester QA
Quiero: usar credencial incorrecta
Para: comprobar seguridad</t>
  </si>
  <si>
    <t>Escenario: Token inválido
Dado: que se envía token erróneo
Cuando: se ejecuta DELETE /booking/{id}
Entonces: la API responde 403</t>
  </si>
  <si>
    <t>CP-21</t>
  </si>
  <si>
    <t>Rendimiento Básico</t>
  </si>
  <si>
    <t>CP-22</t>
  </si>
  <si>
    <t>CP-23</t>
  </si>
  <si>
    <t>CP-24</t>
  </si>
  <si>
    <t>CP-25</t>
  </si>
  <si>
    <t>CP-26</t>
  </si>
  <si>
    <t>Funcionalidad: Proteger eliminación de reservas
Como: administrador del sistema
Quiero: exigir autenticación para eliminar registros
Para: evitar accesos no autorizados</t>
  </si>
  <si>
    <t>Escenario: DELETE sin token
Dado: que existe una reserva válida
Y no se envía token de autenticación
Cuando: se ejecuta DELETE /booking/{id}
Entonces: la API responde 403</t>
  </si>
  <si>
    <t>Funcionalidad: Proteger actualización parcial
Como: administrador del sistema
Quiero: exigir autenticación para modificar registros
Para: evitar cambios no autorizados</t>
  </si>
  <si>
    <t>Escenario: PATCH sin autenticación
Dado: que existe una reserva válida
Y no se envía token de autenticación
Cuando: se ejecuta PATCH /booking/{id}
Entonces: la API responde 403</t>
  </si>
  <si>
    <t>Funcionalidad: Validar token inválido en actualización
Como: tester QA
Quiero: usar token incorrecto
Para: comprobar seguridad del endpoint protegido</t>
  </si>
  <si>
    <t>Escenario: PUT con token inválido
Dado: que existe una reserva válida
Y se envía un token inválido
Cuando: se ejecuta PUT /booking/{id}
Entonces: la API responde 403</t>
  </si>
  <si>
    <t>Funcionalidad: Validar token inválido en eliminación
Como: tester QA
Quiero: usar token incorrecto
Para: comprobar seguridad del endpoint DELETE</t>
  </si>
  <si>
    <t>Escenario: DELETE con token inválido
Dado: que existe una reserva válida
Y se envía un token inválido
Cuando: se ejecuta DELETE /booking/{id}
Entonces: la API responde 403</t>
  </si>
  <si>
    <t>Funcionalidad: Medir tiempo de respuesta del listado de reservas
Como: tester QA
Quiero: ejecutar múltiples iteraciones del endpoint general
Para: validar desempeño bajo uso normal</t>
  </si>
  <si>
    <t>Escenario: GET /booking de rendimiento
Dado: que se ejecutan 10 iteraciones del endpoint /booking
Cuando: se mide el tiempo promedio de respuesta
Entonces: el promedio es menor a 1000 ms</t>
  </si>
  <si>
    <t>Funcionalidad: Medir tiempo de respuesta del detalle de reserva
Como: tester QA
Quiero: ejecutar múltiples iteraciones por ID
Para: validar desempeño del endpoint individual</t>
  </si>
  <si>
    <t>Escenario: GET /booking/{id} de rendimiento
Dado: que existe una reserva válida
Y se ejecutan 10 iteraciones del endpoint /booking/{id}
Cuando: se mide el tiempo promedio de respuesta
Entonces: el promedio es menor a 1000 ms</t>
  </si>
  <si>
    <t>Funcionalidad: Medir tiempo de respuesta de creación de reservas
Como: tester QA
Quiero: ejecutar múltiples iteraciones de creación
Para: validar desempeño en inserciones</t>
  </si>
  <si>
    <t>Escenario: POST /booking de rendimiento
Dado: que se ejecutan 10 iteraciones del endpoint /booking con datos válidos
Cuando: se mide el tiempo promedio de respuesta
Entonces: el promedio es menor a 1000 ms</t>
  </si>
  <si>
    <t>Integración / Flujo End to End</t>
  </si>
  <si>
    <t>Funcionalidad: Gestión completa de reservas
Como: usuario autenticado
Quiero: crear, consultar, actualizar y eliminar una reserva
Para: validar que todos los endpoints funcionen de forma integrada</t>
  </si>
  <si>
    <t>Escenario: Flujo completo CRUD de integración
Dado: que el usuario genera un token válido mediante /auth
Cuando: crea una nueva reserva con POST /booking
Y consulta la reserva creada con GET /booking/{id}
Y actualiza la reserva con PUT /booking/{id}
Y realiza una actualización parcial con PATCH /booking/{id}
Y elimina la reserva con DELETE /booking/{id}
Entonces: todas las operaciones responden exitosamente
Y al consultar nuevamente la reserva responde 404</t>
  </si>
  <si>
    <t>Resultado Obtenido</t>
  </si>
  <si>
    <t>Consultar reservas</t>
  </si>
  <si>
    <t>GET /booking</t>
  </si>
  <si>
    <t>Status 200 y lista de bookingId</t>
  </si>
  <si>
    <t>Status 200</t>
  </si>
  <si>
    <t>IMG02</t>
  </si>
  <si>
    <t>Realizado</t>
  </si>
  <si>
    <t>Consultar booking por ID</t>
  </si>
  <si>
    <t>GET /booking/{id}</t>
  </si>
  <si>
    <t>IMG03</t>
  </si>
  <si>
    <t>Generar token</t>
  </si>
  <si>
    <t>Humo / Seguridad</t>
  </si>
  <si>
    <t>POST /auth JSON</t>
  </si>
  <si>
    <t>Status 200 y token</t>
  </si>
  <si>
    <t>IMG04</t>
  </si>
  <si>
    <t>Crear booking</t>
  </si>
  <si>
    <t>CRUD Positivo</t>
  </si>
  <si>
    <t>POST /booking JSON</t>
  </si>
  <si>
    <t>Status 200 y bookingId</t>
  </si>
  <si>
    <t>IMG05</t>
  </si>
  <si>
    <t>Consultar booking existente</t>
  </si>
  <si>
    <t>IMG06</t>
  </si>
  <si>
    <t>Actualizar booking</t>
  </si>
  <si>
    <t>PUT /booking/{id}</t>
  </si>
  <si>
    <t>IMG07</t>
  </si>
  <si>
    <t>Eliminar booking</t>
  </si>
  <si>
    <t>DELETE /booking/{id}</t>
  </si>
  <si>
    <t>IMG08</t>
  </si>
  <si>
    <t>Validar schema JSON</t>
  </si>
  <si>
    <t>Validación</t>
  </si>
  <si>
    <t>JSON válido</t>
  </si>
  <si>
    <t>Correcto</t>
  </si>
  <si>
    <t>IMG09</t>
  </si>
  <si>
    <t>CP-10</t>
  </si>
  <si>
    <t>Validar tipos de datos</t>
  </si>
  <si>
    <t>https://restful-booker.herokuapp.com/booking/{id}</t>
  </si>
  <si>
    <t>Status 200 y tipos correctos</t>
  </si>
  <si>
    <t>IMG10</t>
  </si>
  <si>
    <t>Booking inexistente</t>
  </si>
  <si>
    <t>GET /booking/99999</t>
  </si>
  <si>
    <t>Status 404</t>
  </si>
  <si>
    <t>IMG11</t>
  </si>
  <si>
    <t>Validar lista de bookings</t>
  </si>
  <si>
    <t>https://restful-booker.herokuapp.com/booking</t>
  </si>
  <si>
    <t>Status 200 y lista de IDs</t>
  </si>
  <si>
    <t>IMG12</t>
  </si>
  <si>
    <t>Payload inválido</t>
  </si>
  <si>
    <t>POST /booking JSON inválido</t>
  </si>
  <si>
    <t>Error controlado</t>
  </si>
  <si>
    <t>Error</t>
  </si>
  <si>
    <t>IMG13</t>
  </si>
  <si>
    <t>JSON mal formado</t>
  </si>
  <si>
    <t>POST JSON inválido</t>
  </si>
  <si>
    <t>Error de validación</t>
  </si>
  <si>
    <t>IMG14</t>
  </si>
  <si>
    <t>PUT sin body</t>
  </si>
  <si>
    <t>PUT vacío</t>
  </si>
  <si>
    <t>IMG15</t>
  </si>
  <si>
    <t>Método no permitido</t>
  </si>
  <si>
    <t>Método inválido</t>
  </si>
  <si>
    <t>Status 405</t>
  </si>
  <si>
    <t>IMG16</t>
  </si>
  <si>
    <t>• Usar método no permitido• Ejecutaralidar código 405</t>
  </si>
  <si>
    <t>DELETE sin token</t>
  </si>
  <si>
    <t>Seguridad</t>
  </si>
  <si>
    <t>DELETE sin auth</t>
  </si>
  <si>
    <t>Status 403</t>
  </si>
  <si>
    <t>IMG17</t>
  </si>
  <si>
    <t>• Crear request DELETE• No enviar token• Ejecutar• Validar 403</t>
  </si>
  <si>
    <t xml:space="preserve"> </t>
  </si>
  <si>
    <t>PUT sin autenticación</t>
  </si>
  <si>
    <t>PUT sin token</t>
  </si>
  <si>
    <t>IMG18</t>
  </si>
  <si>
    <t>• Crear request PUTn• No enviar token Ejecutar• Validar 403</t>
  </si>
  <si>
    <t>PATCH sin autenticación</t>
  </si>
  <si>
    <t>PATCH sin token</t>
  </si>
  <si>
    <t>IMG19</t>
  </si>
  <si>
    <t>• Crear request PATCH • No enviar token• No enviar token• No enviar token</t>
  </si>
  <si>
    <t>Token inválido DELETE</t>
  </si>
  <si>
    <t>DELETE con token inválido</t>
  </si>
  <si>
    <t>IMG20</t>
  </si>
  <si>
    <t>• Crear request DELETE • Enviar token inválido • Ejecutar • Validar 403</t>
  </si>
  <si>
    <t>Token inválido PUT</t>
  </si>
  <si>
    <t>PUT con token inválido</t>
  </si>
  <si>
    <t>IMG21</t>
  </si>
  <si>
    <t>• Crear request PUT • Enviar token inválido • Ejecutar Validar 403</t>
  </si>
  <si>
    <t>IMG22</t>
  </si>
  <si>
    <t>Rendimiento listado</t>
  </si>
  <si>
    <t>Rendimiento</t>
  </si>
  <si>
    <t>GET iteraciones</t>
  </si>
  <si>
    <t>&lt;1000 ms</t>
  </si>
  <si>
    <t>OK</t>
  </si>
  <si>
    <t>IMG23</t>
  </si>
  <si>
    <t>• Ejecutar múltiples GET • Medir tiempos • Validar promedio • Validar promedio</t>
  </si>
  <si>
    <t>Rendimiento por ID</t>
  </si>
  <si>
    <t>IMG24</t>
  </si>
  <si>
    <t>• Ejecutar múltiples GET• Medir tiemposalidar promedio</t>
  </si>
  <si>
    <t>Rendimiento POST</t>
  </si>
  <si>
    <t>POST iteraciones</t>
  </si>
  <si>
    <t>IMG25</t>
  </si>
  <si>
    <t>• Ejecutar múltiples POSTMedir tiempos• Validar promedio• Validar promedio</t>
  </si>
  <si>
    <t>Flujo completo CRUD</t>
  </si>
  <si>
    <t>Integración</t>
  </si>
  <si>
    <t>CRUD completo</t>
  </si>
  <si>
    <t>Todo OK y 404 final</t>
  </si>
  <si>
    <t>IMG26</t>
  </si>
  <si>
    <t>• Generar token • Crear booking • Consultar • Actualizar • Eliminar • Validar 404 final</t>
  </si>
  <si>
    <t>• Crear carpeta de prueba
• Crear request GET /booking
• Ejecutar en Postman
• Validar código 200</t>
  </si>
  <si>
    <t>• Crear request GET /booking/{id
}• Ejecutar con ID válido
• Validar respuesta</t>
  </si>
  <si>
    <t>• Crear request POST /auth
• Enviar credenciales válidas
• Ejecutar
• Validar token</t>
  </si>
  <si>
    <t>• Crear request POST /booking
• Enviar JSON válidojecutar
• Ejecutar</t>
  </si>
  <si>
    <t>• Ejecutar GET con ID existente
• Validar respuesta correcta</t>
  </si>
  <si>
    <t>• Enviar PUT con token
• Enviar JSON válido
• Validar actualización</t>
  </si>
  <si>
    <t>• Ejecutar DELETE con token
• Validar eliminación</t>
  </si>
  <si>
    <t>• Ejecutar GET
• Validar campos JSON</t>
  </si>
  <si>
    <t>• Crear request GET /booking/{id}
• Ejecutar
• Validar campos firstname (string)
• Validar totalprice (number)</t>
  </si>
  <si>
    <t>• Crear request PUT
• No enviar body
• Ejecutar
• Validar error</t>
  </si>
  <si>
    <t>• Crear request POST
• Enviar JSON mal formado
• Ejecutar
• Validar rechazo</t>
  </si>
  <si>
    <t>• Crear request POST /booking
• Enviar datos incorrectos
• Ejecutar
• Validar error</t>
  </si>
  <si>
    <t>• Crear request GET /booking
• Ejecutar
• Validar lista de bookingId</t>
  </si>
  <si>
    <t>• Crear request GET con ID inexistente
• Ejecutar
• Validar código 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</si>
</sst>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12"/>
      <color rgb="FF0F1115"/>
      <name val="Times New Roman"/>
      <family val="1"/>
    </font>
    <font>
      <sz val="11"/>
      <color rgb="FF0F1115"/>
      <name val="Times New Roman"/>
      <family val="1"/>
    </font>
    <font>
      <sz val="14"/>
      <color theme="1"/>
      <name val="Tahoma"/>
      <family val="2"/>
    </font>
    <font>
      <b/>
      <sz val="14"/>
      <color theme="1"/>
      <name val="Tahoma"/>
      <family val="2"/>
    </font>
    <font>
      <b/>
      <sz val="9"/>
      <color rgb="FF0F1115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F1115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0" fontId="4" fillId="4" borderId="1" xfId="0" applyFont="1" applyFill="1" applyBorder="1" applyAlignment="1">
      <alignment horizontal="right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right" vertical="center"/>
    </xf>
    <xf numFmtId="0" fontId="0" fillId="5" borderId="1" xfId="0" applyFill="1" applyBorder="1"/>
    <xf numFmtId="0" fontId="4" fillId="6" borderId="1" xfId="0" applyFont="1" applyFill="1" applyBorder="1" applyAlignment="1">
      <alignment horizontal="right"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4" borderId="0" xfId="0" applyFont="1" applyFill="1"/>
    <xf numFmtId="0" fontId="8" fillId="8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9" borderId="0" xfId="0" applyFill="1" applyAlignment="1">
      <alignment vertical="top" wrapText="1"/>
    </xf>
    <xf numFmtId="0" fontId="9" fillId="4" borderId="1" xfId="0" applyFont="1" applyFill="1" applyBorder="1" applyAlignment="1">
      <alignment horizontal="left" vertical="center"/>
    </xf>
    <xf numFmtId="0" fontId="11" fillId="0" borderId="6" xfId="0" applyFont="1" applyBorder="1" applyAlignment="1">
      <alignment wrapText="1"/>
    </xf>
    <xf numFmtId="0" fontId="11" fillId="9" borderId="6" xfId="0" applyFont="1" applyFill="1" applyBorder="1" applyAlignment="1">
      <alignment vertical="top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2" fontId="0" fillId="2" borderId="0" xfId="0" applyNumberFormat="1" applyFill="1" applyAlignment="1">
      <alignment vertical="top" wrapText="1"/>
    </xf>
    <xf numFmtId="2" fontId="0" fillId="9" borderId="0" xfId="0" applyNumberFormat="1" applyFill="1" applyAlignment="1">
      <alignment vertical="top" wrapText="1"/>
    </xf>
    <xf numFmtId="0" fontId="13" fillId="0" borderId="0" xfId="1" applyAlignment="1">
      <alignment wrapText="1"/>
    </xf>
    <xf numFmtId="14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2" fillId="7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3" fillId="0" borderId="6" xfId="1" applyBorder="1" applyAlignment="1">
      <alignment wrapText="1"/>
    </xf>
    <xf numFmtId="0" fontId="14" fillId="0" borderId="6" xfId="0" applyFont="1" applyBorder="1"/>
    <xf numFmtId="0" fontId="9" fillId="4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wrapText="1"/>
    </xf>
    <xf numFmtId="0" fontId="14" fillId="0" borderId="6" xfId="0" applyFont="1" applyBorder="1" applyAlignment="1">
      <alignment wrapText="1"/>
    </xf>
    <xf numFmtId="0" fontId="13" fillId="0" borderId="1" xfId="1" applyBorder="1" applyAlignment="1">
      <alignment wrapText="1"/>
    </xf>
    <xf numFmtId="0" fontId="14" fillId="0" borderId="1" xfId="0" applyFont="1" applyBorder="1"/>
    <xf numFmtId="0" fontId="0" fillId="0" borderId="1" xfId="0" applyBorder="1"/>
    <xf numFmtId="0" fontId="14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horizontal="left" wrapText="1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restful-booker.herokuapp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tful-booker.heroku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85C7-B08C-4FCF-9CA9-45F7CFDDDB88}">
  <dimension ref="C4:K48"/>
  <sheetViews>
    <sheetView topLeftCell="A36" zoomScale="85" zoomScaleNormal="85" workbookViewId="0">
      <selection activeCell="C18" sqref="C18"/>
    </sheetView>
  </sheetViews>
  <sheetFormatPr baseColWidth="10" defaultRowHeight="15" x14ac:dyDescent="0.25"/>
  <cols>
    <col min="3" max="3" width="22.42578125" customWidth="1"/>
    <col min="4" max="4" width="53.5703125" customWidth="1"/>
    <col min="6" max="6" width="23.7109375" customWidth="1"/>
    <col min="7" max="7" width="40" customWidth="1"/>
    <col min="8" max="8" width="24.28515625" bestFit="1" customWidth="1"/>
    <col min="9" max="9" width="22.85546875" customWidth="1"/>
    <col min="10" max="10" width="54.28515625" customWidth="1"/>
  </cols>
  <sheetData>
    <row r="4" spans="3:11" ht="33.75" customHeight="1" x14ac:dyDescent="0.25">
      <c r="C4" s="1" t="s">
        <v>0</v>
      </c>
      <c r="D4" s="30" t="s">
        <v>48</v>
      </c>
      <c r="E4" s="2"/>
      <c r="F4" s="1" t="s">
        <v>0</v>
      </c>
      <c r="G4" s="30" t="s">
        <v>48</v>
      </c>
      <c r="H4" s="2"/>
      <c r="I4" s="1" t="s">
        <v>0</v>
      </c>
      <c r="J4" s="30" t="s">
        <v>48</v>
      </c>
      <c r="K4" s="2"/>
    </row>
    <row r="5" spans="3:11" ht="18.75" x14ac:dyDescent="0.25">
      <c r="C5" s="3" t="s">
        <v>3</v>
      </c>
      <c r="D5" s="31" t="s">
        <v>1</v>
      </c>
      <c r="E5" s="4"/>
      <c r="F5" s="3" t="s">
        <v>3</v>
      </c>
      <c r="G5" s="31" t="s">
        <v>6</v>
      </c>
      <c r="H5" s="4"/>
      <c r="I5" s="3" t="s">
        <v>3</v>
      </c>
      <c r="J5" s="31" t="s">
        <v>7</v>
      </c>
      <c r="K5" s="4"/>
    </row>
    <row r="6" spans="3:11" ht="37.5" customHeight="1" x14ac:dyDescent="0.25">
      <c r="C6" s="5" t="s">
        <v>2</v>
      </c>
      <c r="D6" s="29" t="s">
        <v>49</v>
      </c>
      <c r="E6" s="4"/>
      <c r="F6" s="5" t="s">
        <v>2</v>
      </c>
      <c r="G6" s="29" t="s">
        <v>134</v>
      </c>
      <c r="H6" s="4"/>
      <c r="I6" s="5" t="s">
        <v>2</v>
      </c>
      <c r="J6" s="29" t="s">
        <v>134</v>
      </c>
      <c r="K6" s="4"/>
    </row>
    <row r="7" spans="3:11" ht="73.5" customHeight="1" x14ac:dyDescent="0.25">
      <c r="C7" s="5" t="s">
        <v>4</v>
      </c>
      <c r="D7" s="29" t="s">
        <v>132</v>
      </c>
      <c r="E7" s="4"/>
      <c r="F7" s="5" t="s">
        <v>4</v>
      </c>
      <c r="G7" s="29" t="s">
        <v>135</v>
      </c>
      <c r="H7" s="4"/>
      <c r="I7" s="5" t="s">
        <v>4</v>
      </c>
      <c r="J7" s="29" t="s">
        <v>137</v>
      </c>
      <c r="K7" s="4"/>
    </row>
    <row r="8" spans="3:11" ht="216" customHeight="1" x14ac:dyDescent="0.25">
      <c r="C8" s="5" t="s">
        <v>5</v>
      </c>
      <c r="D8" s="29" t="s">
        <v>133</v>
      </c>
      <c r="E8" s="4"/>
      <c r="F8" s="5" t="s">
        <v>5</v>
      </c>
      <c r="G8" s="29" t="s">
        <v>136</v>
      </c>
      <c r="H8" s="4"/>
      <c r="I8" s="5" t="s">
        <v>5</v>
      </c>
      <c r="J8" s="29" t="s">
        <v>138</v>
      </c>
      <c r="K8" s="4"/>
    </row>
    <row r="9" spans="3:11" ht="33.75" customHeight="1" x14ac:dyDescent="0.25">
      <c r="C9" s="1" t="s">
        <v>0</v>
      </c>
      <c r="D9" s="30" t="s">
        <v>48</v>
      </c>
      <c r="E9" s="2"/>
      <c r="F9" s="1" t="s">
        <v>0</v>
      </c>
      <c r="G9" s="30" t="s">
        <v>48</v>
      </c>
      <c r="H9" s="2"/>
      <c r="I9" s="1" t="s">
        <v>0</v>
      </c>
      <c r="J9" s="30" t="s">
        <v>48</v>
      </c>
      <c r="K9" s="2"/>
    </row>
    <row r="10" spans="3:11" ht="18.75" x14ac:dyDescent="0.25">
      <c r="C10" s="3" t="s">
        <v>3</v>
      </c>
      <c r="D10" s="31" t="s">
        <v>29</v>
      </c>
      <c r="E10" s="4"/>
      <c r="F10" s="3" t="s">
        <v>3</v>
      </c>
      <c r="G10" s="31" t="s">
        <v>8</v>
      </c>
      <c r="H10" s="4"/>
      <c r="I10" s="3" t="s">
        <v>3</v>
      </c>
      <c r="J10" s="31" t="s">
        <v>161</v>
      </c>
      <c r="K10" s="4"/>
    </row>
    <row r="11" spans="3:11" ht="18.75" x14ac:dyDescent="0.25">
      <c r="C11" s="5" t="s">
        <v>2</v>
      </c>
      <c r="D11" s="29" t="s">
        <v>148</v>
      </c>
      <c r="E11" s="4"/>
      <c r="F11" s="5" t="s">
        <v>2</v>
      </c>
      <c r="G11" s="29" t="s">
        <v>141</v>
      </c>
      <c r="H11" s="4"/>
      <c r="I11" s="5" t="s">
        <v>2</v>
      </c>
      <c r="J11" s="29" t="s">
        <v>141</v>
      </c>
      <c r="K11" s="4"/>
    </row>
    <row r="12" spans="3:11" ht="91.5" customHeight="1" x14ac:dyDescent="0.25">
      <c r="C12" s="5" t="s">
        <v>4</v>
      </c>
      <c r="D12" s="29" t="s">
        <v>139</v>
      </c>
      <c r="E12" s="4"/>
      <c r="F12" s="5" t="s">
        <v>4</v>
      </c>
      <c r="G12" s="29" t="s">
        <v>142</v>
      </c>
      <c r="H12" s="4"/>
      <c r="I12" s="5" t="s">
        <v>4</v>
      </c>
      <c r="J12" s="29" t="s">
        <v>144</v>
      </c>
      <c r="K12" s="4"/>
    </row>
    <row r="13" spans="3:11" ht="195" customHeight="1" x14ac:dyDescent="0.25">
      <c r="C13" s="5" t="s">
        <v>5</v>
      </c>
      <c r="D13" s="29" t="s">
        <v>140</v>
      </c>
      <c r="E13" s="4"/>
      <c r="F13" s="5" t="s">
        <v>5</v>
      </c>
      <c r="G13" s="29" t="s">
        <v>143</v>
      </c>
      <c r="H13" s="4"/>
      <c r="I13" s="5" t="s">
        <v>5</v>
      </c>
      <c r="J13" s="29" t="s">
        <v>145</v>
      </c>
      <c r="K13" s="4"/>
    </row>
    <row r="14" spans="3:11" ht="33.75" customHeight="1" x14ac:dyDescent="0.25">
      <c r="C14" s="1" t="s">
        <v>0</v>
      </c>
      <c r="D14" s="30" t="s">
        <v>48</v>
      </c>
      <c r="E14" s="2"/>
      <c r="F14" s="1" t="s">
        <v>0</v>
      </c>
      <c r="G14" s="30" t="s">
        <v>48</v>
      </c>
      <c r="H14" s="2"/>
      <c r="I14" s="1" t="s">
        <v>0</v>
      </c>
      <c r="J14" s="30" t="s">
        <v>48</v>
      </c>
      <c r="K14" s="2"/>
    </row>
    <row r="15" spans="3:11" ht="18.75" customHeight="1" x14ac:dyDescent="0.25">
      <c r="C15" s="3" t="s">
        <v>3</v>
      </c>
      <c r="D15" s="31" t="s">
        <v>162</v>
      </c>
      <c r="E15" s="4"/>
      <c r="F15" s="3" t="s">
        <v>3</v>
      </c>
      <c r="G15" s="31" t="s">
        <v>163</v>
      </c>
      <c r="H15" s="4"/>
      <c r="I15" s="3" t="s">
        <v>3</v>
      </c>
      <c r="J15" s="31" t="s">
        <v>168</v>
      </c>
      <c r="K15" s="4"/>
    </row>
    <row r="16" spans="3:11" ht="18.75" x14ac:dyDescent="0.25">
      <c r="C16" s="5" t="s">
        <v>2</v>
      </c>
      <c r="D16" s="29" t="s">
        <v>141</v>
      </c>
      <c r="E16" s="4"/>
      <c r="F16" s="5" t="s">
        <v>2</v>
      </c>
      <c r="G16" s="29" t="s">
        <v>141</v>
      </c>
      <c r="H16" s="4"/>
      <c r="I16" s="5" t="s">
        <v>2</v>
      </c>
      <c r="J16" s="29" t="s">
        <v>151</v>
      </c>
      <c r="K16" s="4"/>
    </row>
    <row r="17" spans="3:11" ht="87.75" customHeight="1" x14ac:dyDescent="0.25">
      <c r="C17" s="5" t="s">
        <v>4</v>
      </c>
      <c r="D17" s="29" t="s">
        <v>146</v>
      </c>
      <c r="E17" s="4"/>
      <c r="F17" s="5" t="s">
        <v>4</v>
      </c>
      <c r="G17" s="29" t="s">
        <v>149</v>
      </c>
      <c r="H17" s="4"/>
      <c r="I17" s="5" t="s">
        <v>4</v>
      </c>
      <c r="J17" s="29" t="s">
        <v>152</v>
      </c>
      <c r="K17" s="4"/>
    </row>
    <row r="18" spans="3:11" ht="244.5" customHeight="1" x14ac:dyDescent="0.25">
      <c r="C18" s="5" t="s">
        <v>5</v>
      </c>
      <c r="D18" s="29" t="s">
        <v>147</v>
      </c>
      <c r="E18" s="4"/>
      <c r="F18" s="5" t="s">
        <v>5</v>
      </c>
      <c r="G18" s="29" t="s">
        <v>150</v>
      </c>
      <c r="H18" s="4"/>
      <c r="I18" s="5" t="s">
        <v>5</v>
      </c>
      <c r="J18" s="29" t="s">
        <v>153</v>
      </c>
      <c r="K18" s="4"/>
    </row>
    <row r="19" spans="3:11" ht="39.6" customHeight="1" x14ac:dyDescent="0.25">
      <c r="C19" s="1" t="s">
        <v>0</v>
      </c>
      <c r="D19" s="30" t="s">
        <v>48</v>
      </c>
      <c r="E19" s="2"/>
      <c r="F19" s="1" t="s">
        <v>0</v>
      </c>
      <c r="G19" s="30" t="s">
        <v>48</v>
      </c>
      <c r="H19" s="2"/>
      <c r="I19" s="1" t="s">
        <v>0</v>
      </c>
      <c r="J19" s="30" t="s">
        <v>48</v>
      </c>
      <c r="K19" s="2"/>
    </row>
    <row r="20" spans="3:11" ht="18.75" x14ac:dyDescent="0.25">
      <c r="C20" s="3" t="s">
        <v>3</v>
      </c>
      <c r="D20" s="31" t="s">
        <v>250</v>
      </c>
      <c r="E20" s="4"/>
      <c r="F20" s="3" t="s">
        <v>3</v>
      </c>
      <c r="G20" s="31" t="s">
        <v>164</v>
      </c>
      <c r="H20" s="4"/>
      <c r="I20" s="3" t="s">
        <v>3</v>
      </c>
      <c r="J20" s="31" t="s">
        <v>165</v>
      </c>
      <c r="K20" s="4"/>
    </row>
    <row r="21" spans="3:11" ht="18.75" x14ac:dyDescent="0.25">
      <c r="C21" s="5" t="s">
        <v>2</v>
      </c>
      <c r="D21" s="29" t="s">
        <v>154</v>
      </c>
      <c r="E21" s="4"/>
      <c r="F21" s="5" t="s">
        <v>2</v>
      </c>
      <c r="G21" s="29" t="s">
        <v>157</v>
      </c>
      <c r="H21" s="4"/>
      <c r="I21" s="5" t="s">
        <v>2</v>
      </c>
      <c r="J21" s="29" t="s">
        <v>169</v>
      </c>
      <c r="K21" s="4"/>
    </row>
    <row r="22" spans="3:11" ht="94.5" x14ac:dyDescent="0.25">
      <c r="C22" s="5" t="s">
        <v>4</v>
      </c>
      <c r="D22" s="29" t="s">
        <v>155</v>
      </c>
      <c r="E22" s="4"/>
      <c r="F22" s="5" t="s">
        <v>4</v>
      </c>
      <c r="G22" s="29" t="s">
        <v>158</v>
      </c>
      <c r="H22" s="4"/>
      <c r="I22" s="5" t="s">
        <v>4</v>
      </c>
      <c r="J22" s="29" t="s">
        <v>160</v>
      </c>
      <c r="K22" s="4"/>
    </row>
    <row r="23" spans="3:11" ht="78.75" x14ac:dyDescent="0.25">
      <c r="C23" s="5" t="s">
        <v>5</v>
      </c>
      <c r="D23" s="29" t="s">
        <v>156</v>
      </c>
      <c r="E23" s="4"/>
      <c r="F23" s="5" t="s">
        <v>5</v>
      </c>
      <c r="G23" s="29" t="s">
        <v>159</v>
      </c>
      <c r="H23" s="4"/>
      <c r="I23" s="5" t="s">
        <v>5</v>
      </c>
      <c r="J23" s="29" t="s">
        <v>167</v>
      </c>
      <c r="K23" s="4"/>
    </row>
    <row r="24" spans="3:11" ht="18.75" x14ac:dyDescent="0.25">
      <c r="C24" s="1" t="s">
        <v>0</v>
      </c>
      <c r="D24" s="30" t="s">
        <v>48</v>
      </c>
      <c r="E24" s="2"/>
      <c r="F24" s="1" t="s">
        <v>0</v>
      </c>
      <c r="G24" s="30" t="s">
        <v>48</v>
      </c>
      <c r="H24" s="2"/>
      <c r="I24" s="1" t="s">
        <v>0</v>
      </c>
      <c r="J24" s="30" t="s">
        <v>48</v>
      </c>
      <c r="K24" s="2"/>
    </row>
    <row r="25" spans="3:11" ht="18.75" x14ac:dyDescent="0.25">
      <c r="C25" s="3" t="s">
        <v>3</v>
      </c>
      <c r="D25" s="31" t="s">
        <v>166</v>
      </c>
      <c r="E25" s="4"/>
      <c r="F25" s="3" t="s">
        <v>3</v>
      </c>
      <c r="G25" s="31" t="s">
        <v>173</v>
      </c>
      <c r="H25" s="4"/>
      <c r="I25" s="3" t="s">
        <v>3</v>
      </c>
      <c r="J25" s="31" t="s">
        <v>177</v>
      </c>
      <c r="K25" s="4"/>
    </row>
    <row r="26" spans="3:11" ht="18.75" x14ac:dyDescent="0.25">
      <c r="C26" s="5" t="s">
        <v>2</v>
      </c>
      <c r="D26" s="29" t="s">
        <v>170</v>
      </c>
      <c r="E26" s="4"/>
      <c r="F26" s="5" t="s">
        <v>2</v>
      </c>
      <c r="G26" s="29" t="s">
        <v>174</v>
      </c>
      <c r="H26" s="4"/>
      <c r="I26" s="5" t="s">
        <v>2</v>
      </c>
      <c r="J26" s="29" t="s">
        <v>178</v>
      </c>
      <c r="K26" s="4"/>
    </row>
    <row r="27" spans="3:11" ht="63" x14ac:dyDescent="0.25">
      <c r="C27" s="5" t="s">
        <v>4</v>
      </c>
      <c r="D27" s="29" t="s">
        <v>171</v>
      </c>
      <c r="E27" s="4"/>
      <c r="F27" s="5" t="s">
        <v>4</v>
      </c>
      <c r="G27" s="29" t="s">
        <v>175</v>
      </c>
      <c r="H27" s="4"/>
      <c r="I27" s="5" t="s">
        <v>4</v>
      </c>
      <c r="J27" s="29" t="s">
        <v>179</v>
      </c>
      <c r="K27" s="4"/>
    </row>
    <row r="28" spans="3:11" ht="63" x14ac:dyDescent="0.25">
      <c r="C28" s="5" t="s">
        <v>5</v>
      </c>
      <c r="D28" s="29" t="s">
        <v>172</v>
      </c>
      <c r="E28" s="4"/>
      <c r="F28" s="5" t="s">
        <v>5</v>
      </c>
      <c r="G28" s="29" t="s">
        <v>176</v>
      </c>
      <c r="H28" s="4"/>
      <c r="I28" s="5" t="s">
        <v>5</v>
      </c>
      <c r="J28" s="29" t="s">
        <v>180</v>
      </c>
      <c r="K28" s="4"/>
    </row>
    <row r="29" spans="3:11" ht="18.75" x14ac:dyDescent="0.25">
      <c r="C29" s="1" t="s">
        <v>0</v>
      </c>
      <c r="D29" s="30" t="s">
        <v>48</v>
      </c>
      <c r="E29" s="2"/>
      <c r="F29" s="1" t="s">
        <v>0</v>
      </c>
      <c r="G29" s="30" t="s">
        <v>48</v>
      </c>
      <c r="H29" s="2"/>
      <c r="I29" s="1" t="s">
        <v>0</v>
      </c>
      <c r="J29" s="30" t="s">
        <v>48</v>
      </c>
      <c r="K29" s="2"/>
    </row>
    <row r="30" spans="3:11" ht="18.75" x14ac:dyDescent="0.25">
      <c r="C30" s="3" t="s">
        <v>3</v>
      </c>
      <c r="D30" s="31" t="s">
        <v>182</v>
      </c>
      <c r="E30" s="4"/>
      <c r="F30" s="3" t="s">
        <v>3</v>
      </c>
      <c r="G30" s="31" t="s">
        <v>184</v>
      </c>
      <c r="H30" s="4"/>
      <c r="I30" s="3" t="s">
        <v>3</v>
      </c>
      <c r="J30" s="31" t="s">
        <v>188</v>
      </c>
      <c r="K30" s="4"/>
    </row>
    <row r="31" spans="3:11" ht="18.75" x14ac:dyDescent="0.25">
      <c r="C31" s="5" t="s">
        <v>2</v>
      </c>
      <c r="D31" s="29" t="s">
        <v>178</v>
      </c>
      <c r="E31" s="4"/>
      <c r="F31" s="5" t="s">
        <v>2</v>
      </c>
      <c r="G31" s="29" t="s">
        <v>185</v>
      </c>
      <c r="H31" s="4"/>
      <c r="I31" s="5" t="s">
        <v>2</v>
      </c>
      <c r="J31" s="29" t="s">
        <v>185</v>
      </c>
      <c r="K31" s="4"/>
    </row>
    <row r="32" spans="3:11" ht="94.5" x14ac:dyDescent="0.25">
      <c r="C32" s="5" t="s">
        <v>4</v>
      </c>
      <c r="D32" s="29" t="s">
        <v>181</v>
      </c>
      <c r="E32" s="4"/>
      <c r="F32" s="5" t="s">
        <v>4</v>
      </c>
      <c r="G32" s="29" t="s">
        <v>200</v>
      </c>
      <c r="H32" s="4"/>
      <c r="I32" s="5" t="s">
        <v>4</v>
      </c>
      <c r="J32" s="29" t="s">
        <v>186</v>
      </c>
      <c r="K32" s="4"/>
    </row>
    <row r="33" spans="3:11" ht="78.75" x14ac:dyDescent="0.25">
      <c r="C33" s="5" t="s">
        <v>5</v>
      </c>
      <c r="D33" s="29" t="s">
        <v>183</v>
      </c>
      <c r="E33" s="4"/>
      <c r="F33" s="5" t="s">
        <v>5</v>
      </c>
      <c r="G33" s="29" t="s">
        <v>201</v>
      </c>
      <c r="H33" s="4"/>
      <c r="I33" s="5" t="s">
        <v>5</v>
      </c>
      <c r="J33" s="29" t="s">
        <v>187</v>
      </c>
      <c r="K33" s="4"/>
    </row>
    <row r="34" spans="3:11" ht="18.75" x14ac:dyDescent="0.25">
      <c r="C34" s="1" t="s">
        <v>0</v>
      </c>
      <c r="D34" s="30" t="s">
        <v>48</v>
      </c>
      <c r="E34" s="2"/>
      <c r="F34" s="1" t="s">
        <v>0</v>
      </c>
      <c r="G34" s="30" t="s">
        <v>48</v>
      </c>
      <c r="H34" s="2"/>
      <c r="I34" s="1" t="s">
        <v>0</v>
      </c>
      <c r="J34" s="30" t="s">
        <v>48</v>
      </c>
      <c r="K34" s="2"/>
    </row>
    <row r="35" spans="3:11" ht="18.75" x14ac:dyDescent="0.25">
      <c r="C35" s="3" t="s">
        <v>3</v>
      </c>
      <c r="D35" s="31" t="s">
        <v>189</v>
      </c>
      <c r="E35" s="4"/>
      <c r="F35" s="3" t="s">
        <v>3</v>
      </c>
      <c r="G35" s="31" t="s">
        <v>190</v>
      </c>
      <c r="H35" s="4"/>
      <c r="I35" s="3" t="s">
        <v>3</v>
      </c>
      <c r="J35" s="31" t="s">
        <v>193</v>
      </c>
      <c r="K35" s="4"/>
    </row>
    <row r="36" spans="3:11" ht="18.75" x14ac:dyDescent="0.25">
      <c r="C36" s="5" t="s">
        <v>2</v>
      </c>
      <c r="D36" s="29" t="s">
        <v>185</v>
      </c>
      <c r="E36" s="4"/>
      <c r="F36" s="5" t="s">
        <v>2</v>
      </c>
      <c r="G36" s="29" t="s">
        <v>185</v>
      </c>
      <c r="H36" s="4"/>
      <c r="I36" s="5" t="s">
        <v>2</v>
      </c>
      <c r="J36" s="29" t="s">
        <v>185</v>
      </c>
      <c r="K36" s="4"/>
    </row>
    <row r="37" spans="3:11" ht="63" x14ac:dyDescent="0.25">
      <c r="C37" s="5" t="s">
        <v>4</v>
      </c>
      <c r="D37" s="29" t="s">
        <v>202</v>
      </c>
      <c r="E37" s="4"/>
      <c r="F37" s="5" t="s">
        <v>4</v>
      </c>
      <c r="G37" s="29" t="s">
        <v>191</v>
      </c>
      <c r="H37" s="4"/>
      <c r="I37" s="5" t="s">
        <v>4</v>
      </c>
      <c r="J37" s="29" t="s">
        <v>204</v>
      </c>
      <c r="K37" s="4"/>
    </row>
    <row r="38" spans="3:11" ht="78.75" x14ac:dyDescent="0.25">
      <c r="C38" s="5" t="s">
        <v>5</v>
      </c>
      <c r="D38" s="29" t="s">
        <v>203</v>
      </c>
      <c r="E38" s="4"/>
      <c r="F38" s="5" t="s">
        <v>5</v>
      </c>
      <c r="G38" s="29" t="s">
        <v>192</v>
      </c>
      <c r="H38" s="4"/>
      <c r="I38" s="5" t="s">
        <v>5</v>
      </c>
      <c r="J38" s="29" t="s">
        <v>205</v>
      </c>
      <c r="K38" s="4"/>
    </row>
    <row r="39" spans="3:11" ht="18.75" x14ac:dyDescent="0.25">
      <c r="C39" s="1" t="s">
        <v>0</v>
      </c>
      <c r="D39" s="30" t="s">
        <v>48</v>
      </c>
      <c r="E39" s="2"/>
      <c r="F39" s="1" t="s">
        <v>0</v>
      </c>
      <c r="G39" s="30" t="s">
        <v>48</v>
      </c>
      <c r="H39" s="2"/>
      <c r="I39" s="1" t="s">
        <v>0</v>
      </c>
      <c r="J39" s="30" t="s">
        <v>48</v>
      </c>
      <c r="K39" s="2"/>
    </row>
    <row r="40" spans="3:11" ht="18.75" x14ac:dyDescent="0.25">
      <c r="C40" s="3" t="s">
        <v>3</v>
      </c>
      <c r="D40" s="31" t="s">
        <v>195</v>
      </c>
      <c r="E40" s="4"/>
      <c r="F40" s="3" t="s">
        <v>3</v>
      </c>
      <c r="G40" s="31" t="s">
        <v>196</v>
      </c>
      <c r="H40" s="4"/>
      <c r="I40" s="3" t="s">
        <v>3</v>
      </c>
      <c r="J40" s="31" t="s">
        <v>197</v>
      </c>
      <c r="K40" s="4"/>
    </row>
    <row r="41" spans="3:11" ht="18.75" x14ac:dyDescent="0.25">
      <c r="C41" s="5" t="s">
        <v>2</v>
      </c>
      <c r="D41" s="29" t="s">
        <v>185</v>
      </c>
      <c r="E41" s="4"/>
      <c r="F41" s="5" t="s">
        <v>2</v>
      </c>
      <c r="G41" s="29" t="s">
        <v>194</v>
      </c>
      <c r="H41" s="4"/>
      <c r="I41" s="5" t="s">
        <v>2</v>
      </c>
      <c r="J41" s="29" t="s">
        <v>194</v>
      </c>
      <c r="K41" s="4"/>
    </row>
    <row r="42" spans="3:11" ht="94.5" x14ac:dyDescent="0.25">
      <c r="C42" s="5" t="s">
        <v>4</v>
      </c>
      <c r="D42" s="29" t="s">
        <v>206</v>
      </c>
      <c r="E42" s="4"/>
      <c r="F42" s="5" t="s">
        <v>4</v>
      </c>
      <c r="G42" s="29" t="s">
        <v>208</v>
      </c>
      <c r="H42" s="4"/>
      <c r="I42" s="5" t="s">
        <v>4</v>
      </c>
      <c r="J42" s="29" t="s">
        <v>210</v>
      </c>
      <c r="K42" s="4"/>
    </row>
    <row r="43" spans="3:11" ht="94.5" x14ac:dyDescent="0.25">
      <c r="C43" s="5" t="s">
        <v>5</v>
      </c>
      <c r="D43" s="29" t="s">
        <v>207</v>
      </c>
      <c r="E43" s="4"/>
      <c r="F43" s="5" t="s">
        <v>5</v>
      </c>
      <c r="G43" s="29" t="s">
        <v>209</v>
      </c>
      <c r="H43" s="4"/>
      <c r="I43" s="5" t="s">
        <v>5</v>
      </c>
      <c r="J43" s="29" t="s">
        <v>211</v>
      </c>
      <c r="K43" s="4"/>
    </row>
    <row r="44" spans="3:11" ht="18.75" x14ac:dyDescent="0.25">
      <c r="C44" s="1" t="s">
        <v>0</v>
      </c>
      <c r="D44" s="30" t="s">
        <v>48</v>
      </c>
      <c r="E44" s="2"/>
      <c r="F44" s="1" t="s">
        <v>0</v>
      </c>
      <c r="G44" s="30" t="s">
        <v>48</v>
      </c>
      <c r="H44" s="2"/>
    </row>
    <row r="45" spans="3:11" ht="18.75" x14ac:dyDescent="0.25">
      <c r="C45" s="3" t="s">
        <v>3</v>
      </c>
      <c r="D45" s="31" t="s">
        <v>198</v>
      </c>
      <c r="E45" s="4"/>
      <c r="F45" s="3" t="s">
        <v>3</v>
      </c>
      <c r="G45" s="31" t="s">
        <v>199</v>
      </c>
      <c r="H45" s="4"/>
    </row>
    <row r="46" spans="3:11" ht="18.75" x14ac:dyDescent="0.25">
      <c r="C46" s="5" t="s">
        <v>2</v>
      </c>
      <c r="D46" s="29" t="s">
        <v>194</v>
      </c>
      <c r="E46" s="4"/>
      <c r="F46" s="5" t="s">
        <v>2</v>
      </c>
      <c r="G46" s="29" t="s">
        <v>214</v>
      </c>
      <c r="H46" s="4"/>
    </row>
    <row r="47" spans="3:11" ht="110.25" x14ac:dyDescent="0.25">
      <c r="C47" s="5" t="s">
        <v>4</v>
      </c>
      <c r="D47" s="29" t="s">
        <v>212</v>
      </c>
      <c r="E47" s="4"/>
      <c r="F47" s="5" t="s">
        <v>4</v>
      </c>
      <c r="G47" s="29" t="s">
        <v>215</v>
      </c>
      <c r="H47" s="4"/>
    </row>
    <row r="48" spans="3:11" ht="283.5" x14ac:dyDescent="0.25">
      <c r="C48" s="5" t="s">
        <v>5</v>
      </c>
      <c r="D48" s="29" t="s">
        <v>213</v>
      </c>
      <c r="E48" s="4"/>
      <c r="F48" s="5" t="s">
        <v>5</v>
      </c>
      <c r="G48" s="29" t="s">
        <v>216</v>
      </c>
      <c r="H48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A57C-21C3-448D-86D2-08DDAFD111F6}">
  <dimension ref="A2:Q101"/>
  <sheetViews>
    <sheetView topLeftCell="A28" zoomScale="55" zoomScaleNormal="55" workbookViewId="0">
      <selection activeCell="D41" sqref="D41"/>
    </sheetView>
  </sheetViews>
  <sheetFormatPr baseColWidth="10" defaultRowHeight="15" x14ac:dyDescent="0.25"/>
  <cols>
    <col min="3" max="3" width="25.28515625" bestFit="1" customWidth="1"/>
    <col min="4" max="4" width="47.5703125" customWidth="1"/>
    <col min="7" max="7" width="31.85546875" customWidth="1"/>
    <col min="8" max="8" width="44" customWidth="1"/>
    <col min="10" max="10" width="37" customWidth="1"/>
    <col min="11" max="11" width="31.42578125" customWidth="1"/>
    <col min="13" max="13" width="30.85546875" customWidth="1"/>
    <col min="14" max="14" width="26.42578125" customWidth="1"/>
    <col min="16" max="16" width="41" customWidth="1"/>
    <col min="17" max="17" width="39.28515625" customWidth="1"/>
  </cols>
  <sheetData>
    <row r="2" spans="1:17" ht="18" x14ac:dyDescent="0.25">
      <c r="A2" t="s">
        <v>119</v>
      </c>
      <c r="C2" s="16" t="s">
        <v>64</v>
      </c>
      <c r="D2" s="16" t="s">
        <v>65</v>
      </c>
      <c r="G2" s="34" t="s">
        <v>64</v>
      </c>
      <c r="H2" s="34" t="s">
        <v>65</v>
      </c>
      <c r="J2" s="34" t="s">
        <v>64</v>
      </c>
      <c r="K2" s="34" t="s">
        <v>65</v>
      </c>
      <c r="M2" s="34" t="s">
        <v>64</v>
      </c>
      <c r="N2" s="34" t="s">
        <v>65</v>
      </c>
      <c r="P2" s="34" t="s">
        <v>64</v>
      </c>
      <c r="Q2" s="34" t="s">
        <v>65</v>
      </c>
    </row>
    <row r="3" spans="1:17" ht="18" x14ac:dyDescent="0.25">
      <c r="C3" s="13" t="s">
        <v>3</v>
      </c>
      <c r="D3" s="14" t="s">
        <v>1</v>
      </c>
      <c r="G3" s="35" t="s">
        <v>3</v>
      </c>
      <c r="H3" s="28" t="s">
        <v>6</v>
      </c>
      <c r="J3" s="35" t="s">
        <v>3</v>
      </c>
      <c r="K3" s="28" t="s">
        <v>7</v>
      </c>
      <c r="M3" s="35" t="s">
        <v>3</v>
      </c>
      <c r="N3" s="28" t="s">
        <v>29</v>
      </c>
      <c r="P3" s="35" t="s">
        <v>3</v>
      </c>
      <c r="Q3" s="28" t="s">
        <v>8</v>
      </c>
    </row>
    <row r="4" spans="1:17" ht="18" x14ac:dyDescent="0.25">
      <c r="C4" s="13" t="s">
        <v>10</v>
      </c>
      <c r="D4" s="14" t="s">
        <v>84</v>
      </c>
      <c r="G4" s="35" t="s">
        <v>10</v>
      </c>
      <c r="H4" s="28" t="s">
        <v>218</v>
      </c>
      <c r="J4" s="35" t="s">
        <v>10</v>
      </c>
      <c r="K4" s="28" t="s">
        <v>224</v>
      </c>
      <c r="M4" s="35" t="s">
        <v>10</v>
      </c>
      <c r="N4" s="28" t="s">
        <v>227</v>
      </c>
      <c r="P4" s="35" t="s">
        <v>10</v>
      </c>
      <c r="Q4" s="28" t="s">
        <v>232</v>
      </c>
    </row>
    <row r="5" spans="1:17" ht="18" x14ac:dyDescent="0.25">
      <c r="C5" s="13" t="s">
        <v>66</v>
      </c>
      <c r="D5" s="27">
        <v>46134</v>
      </c>
      <c r="G5" s="35" t="s">
        <v>66</v>
      </c>
      <c r="H5" s="63">
        <v>46134</v>
      </c>
      <c r="J5" s="35" t="s">
        <v>66</v>
      </c>
      <c r="K5" s="63">
        <v>46134</v>
      </c>
      <c r="M5" s="35" t="s">
        <v>66</v>
      </c>
      <c r="N5" s="63">
        <v>46134</v>
      </c>
      <c r="P5" s="35" t="s">
        <v>66</v>
      </c>
      <c r="Q5" s="63">
        <v>46134</v>
      </c>
    </row>
    <row r="6" spans="1:17" ht="18" x14ac:dyDescent="0.25">
      <c r="C6" s="13" t="s">
        <v>67</v>
      </c>
      <c r="D6" s="14" t="s">
        <v>126</v>
      </c>
      <c r="G6" s="35" t="s">
        <v>67</v>
      </c>
      <c r="H6" s="28" t="s">
        <v>126</v>
      </c>
      <c r="J6" s="35" t="s">
        <v>67</v>
      </c>
      <c r="K6" s="28" t="s">
        <v>126</v>
      </c>
      <c r="M6" s="35" t="s">
        <v>67</v>
      </c>
      <c r="N6" s="28" t="s">
        <v>126</v>
      </c>
      <c r="P6" s="35" t="s">
        <v>67</v>
      </c>
      <c r="Q6" s="28" t="s">
        <v>126</v>
      </c>
    </row>
    <row r="7" spans="1:17" ht="30" x14ac:dyDescent="0.25">
      <c r="A7" t="s">
        <v>123</v>
      </c>
      <c r="C7" s="13" t="s">
        <v>68</v>
      </c>
      <c r="D7" s="32" t="s">
        <v>122</v>
      </c>
      <c r="G7" s="35" t="s">
        <v>68</v>
      </c>
      <c r="H7" s="32" t="s">
        <v>122</v>
      </c>
      <c r="J7" s="35" t="s">
        <v>68</v>
      </c>
      <c r="K7" s="32" t="s">
        <v>122</v>
      </c>
      <c r="M7" s="35" t="s">
        <v>68</v>
      </c>
      <c r="N7" s="32" t="s">
        <v>122</v>
      </c>
      <c r="P7" s="35" t="s">
        <v>68</v>
      </c>
      <c r="Q7" s="32" t="s">
        <v>122</v>
      </c>
    </row>
    <row r="8" spans="1:17" ht="18" x14ac:dyDescent="0.25">
      <c r="C8" s="13" t="s">
        <v>69</v>
      </c>
      <c r="D8" s="14" t="s">
        <v>127</v>
      </c>
      <c r="G8" s="35" t="s">
        <v>69</v>
      </c>
      <c r="H8" s="28" t="s">
        <v>127</v>
      </c>
      <c r="J8" s="35" t="s">
        <v>69</v>
      </c>
      <c r="K8" s="28" t="s">
        <v>127</v>
      </c>
      <c r="M8" s="35" t="s">
        <v>69</v>
      </c>
      <c r="N8" s="28" t="s">
        <v>228</v>
      </c>
      <c r="P8" s="35" t="s">
        <v>69</v>
      </c>
      <c r="Q8" s="28" t="s">
        <v>233</v>
      </c>
    </row>
    <row r="9" spans="1:17" ht="18" x14ac:dyDescent="0.25">
      <c r="C9" s="13" t="s">
        <v>12</v>
      </c>
      <c r="D9" s="14" t="s">
        <v>124</v>
      </c>
      <c r="G9" s="35" t="s">
        <v>12</v>
      </c>
      <c r="H9" s="28" t="s">
        <v>124</v>
      </c>
      <c r="J9" s="35" t="s">
        <v>12</v>
      </c>
      <c r="K9" s="28" t="s">
        <v>124</v>
      </c>
      <c r="M9" s="35" t="s">
        <v>12</v>
      </c>
      <c r="N9" s="28" t="s">
        <v>124</v>
      </c>
      <c r="P9" s="35" t="s">
        <v>12</v>
      </c>
      <c r="Q9" s="28" t="s">
        <v>124</v>
      </c>
    </row>
    <row r="10" spans="1:17" ht="18" x14ac:dyDescent="0.25">
      <c r="C10" s="13" t="s">
        <v>70</v>
      </c>
      <c r="D10" s="14" t="s">
        <v>125</v>
      </c>
      <c r="G10" s="35" t="s">
        <v>70</v>
      </c>
      <c r="H10" s="28" t="s">
        <v>219</v>
      </c>
      <c r="J10" s="35" t="s">
        <v>70</v>
      </c>
      <c r="K10" s="28" t="s">
        <v>225</v>
      </c>
      <c r="M10" s="35" t="s">
        <v>70</v>
      </c>
      <c r="N10" s="28" t="s">
        <v>229</v>
      </c>
      <c r="P10" s="35" t="s">
        <v>70</v>
      </c>
      <c r="Q10" s="28" t="s">
        <v>234</v>
      </c>
    </row>
    <row r="11" spans="1:17" ht="18" x14ac:dyDescent="0.25">
      <c r="C11" s="13" t="s">
        <v>71</v>
      </c>
      <c r="D11" s="33" t="s">
        <v>128</v>
      </c>
      <c r="G11" s="35" t="s">
        <v>71</v>
      </c>
      <c r="H11" s="37" t="s">
        <v>220</v>
      </c>
      <c r="J11" s="35" t="s">
        <v>71</v>
      </c>
      <c r="K11" s="37" t="s">
        <v>221</v>
      </c>
      <c r="M11" s="35" t="s">
        <v>71</v>
      </c>
      <c r="N11" s="37" t="s">
        <v>230</v>
      </c>
      <c r="P11" s="35" t="s">
        <v>71</v>
      </c>
      <c r="Q11" s="37" t="s">
        <v>235</v>
      </c>
    </row>
    <row r="12" spans="1:17" ht="18" x14ac:dyDescent="0.25">
      <c r="C12" s="13" t="s">
        <v>217</v>
      </c>
      <c r="D12" s="33" t="s">
        <v>128</v>
      </c>
      <c r="G12" s="35" t="s">
        <v>217</v>
      </c>
      <c r="H12" s="37" t="s">
        <v>221</v>
      </c>
      <c r="J12" s="35" t="s">
        <v>217</v>
      </c>
      <c r="K12" s="37" t="s">
        <v>221</v>
      </c>
      <c r="M12" s="35" t="s">
        <v>217</v>
      </c>
      <c r="N12" s="37" t="s">
        <v>221</v>
      </c>
      <c r="P12" s="35" t="s">
        <v>217</v>
      </c>
      <c r="Q12" s="37" t="s">
        <v>221</v>
      </c>
    </row>
    <row r="13" spans="1:17" ht="18" x14ac:dyDescent="0.25">
      <c r="C13" s="13" t="s">
        <v>72</v>
      </c>
      <c r="D13" s="14" t="s">
        <v>129</v>
      </c>
      <c r="G13" s="35" t="s">
        <v>72</v>
      </c>
      <c r="H13" s="28" t="s">
        <v>222</v>
      </c>
      <c r="J13" s="35" t="s">
        <v>72</v>
      </c>
      <c r="K13" s="28" t="s">
        <v>226</v>
      </c>
      <c r="M13" s="35" t="s">
        <v>72</v>
      </c>
      <c r="N13" s="28" t="s">
        <v>231</v>
      </c>
      <c r="P13" s="35" t="s">
        <v>72</v>
      </c>
      <c r="Q13" s="28" t="s">
        <v>236</v>
      </c>
    </row>
    <row r="14" spans="1:17" ht="90" x14ac:dyDescent="0.25">
      <c r="C14" s="13" t="s">
        <v>11</v>
      </c>
      <c r="D14" s="28" t="s">
        <v>130</v>
      </c>
      <c r="G14" s="35" t="s">
        <v>11</v>
      </c>
      <c r="H14" s="62" t="s">
        <v>324</v>
      </c>
      <c r="J14" s="35" t="s">
        <v>11</v>
      </c>
      <c r="K14" s="62" t="s">
        <v>325</v>
      </c>
      <c r="M14" s="35" t="s">
        <v>11</v>
      </c>
      <c r="N14" s="62" t="s">
        <v>326</v>
      </c>
      <c r="P14" s="35" t="s">
        <v>11</v>
      </c>
      <c r="Q14" s="62" t="s">
        <v>327</v>
      </c>
    </row>
    <row r="15" spans="1:17" ht="18" x14ac:dyDescent="0.25">
      <c r="C15" s="13" t="s">
        <v>15</v>
      </c>
      <c r="D15" s="14" t="s">
        <v>131</v>
      </c>
      <c r="G15" s="35" t="s">
        <v>15</v>
      </c>
      <c r="H15" s="36" t="s">
        <v>223</v>
      </c>
      <c r="J15" s="35" t="s">
        <v>15</v>
      </c>
      <c r="K15" s="28" t="s">
        <v>223</v>
      </c>
      <c r="M15" s="35" t="s">
        <v>15</v>
      </c>
      <c r="N15" s="36" t="s">
        <v>223</v>
      </c>
      <c r="P15" s="35" t="s">
        <v>15</v>
      </c>
      <c r="Q15" s="28" t="s">
        <v>223</v>
      </c>
    </row>
    <row r="21" spans="3:17" ht="18" x14ac:dyDescent="0.25">
      <c r="C21" s="16" t="s">
        <v>64</v>
      </c>
      <c r="D21" s="16" t="s">
        <v>65</v>
      </c>
      <c r="G21" s="16" t="s">
        <v>64</v>
      </c>
      <c r="H21" s="16" t="s">
        <v>65</v>
      </c>
      <c r="J21" s="16" t="s">
        <v>64</v>
      </c>
      <c r="K21" s="16" t="s">
        <v>65</v>
      </c>
      <c r="M21" s="16" t="s">
        <v>64</v>
      </c>
      <c r="N21" s="16" t="s">
        <v>65</v>
      </c>
      <c r="P21" s="16" t="s">
        <v>64</v>
      </c>
      <c r="Q21" s="16" t="s">
        <v>65</v>
      </c>
    </row>
    <row r="22" spans="3:17" ht="18" x14ac:dyDescent="0.25">
      <c r="C22" s="13" t="s">
        <v>3</v>
      </c>
      <c r="D22" s="14" t="s">
        <v>161</v>
      </c>
      <c r="G22" s="13" t="s">
        <v>3</v>
      </c>
      <c r="H22" s="14" t="s">
        <v>162</v>
      </c>
      <c r="J22" s="13" t="s">
        <v>3</v>
      </c>
      <c r="K22" s="14" t="s">
        <v>163</v>
      </c>
      <c r="M22" s="13" t="s">
        <v>3</v>
      </c>
      <c r="N22" s="14" t="s">
        <v>168</v>
      </c>
      <c r="P22" s="35" t="s">
        <v>3</v>
      </c>
      <c r="Q22" s="14" t="s">
        <v>250</v>
      </c>
    </row>
    <row r="23" spans="3:17" ht="18" x14ac:dyDescent="0.25">
      <c r="C23" s="13" t="s">
        <v>10</v>
      </c>
      <c r="D23" s="14" t="s">
        <v>237</v>
      </c>
      <c r="G23" s="13" t="s">
        <v>10</v>
      </c>
      <c r="H23" s="14" t="s">
        <v>239</v>
      </c>
      <c r="J23" s="13" t="s">
        <v>10</v>
      </c>
      <c r="K23" s="14" t="s">
        <v>242</v>
      </c>
      <c r="M23" s="13" t="s">
        <v>10</v>
      </c>
      <c r="N23" s="14" t="s">
        <v>245</v>
      </c>
      <c r="P23" s="35" t="s">
        <v>10</v>
      </c>
      <c r="Q23" s="14" t="s">
        <v>251</v>
      </c>
    </row>
    <row r="24" spans="3:17" ht="18" x14ac:dyDescent="0.25">
      <c r="C24" s="13" t="s">
        <v>66</v>
      </c>
      <c r="D24" s="27">
        <v>46134</v>
      </c>
      <c r="G24" s="13" t="s">
        <v>66</v>
      </c>
      <c r="H24" s="64">
        <v>46134</v>
      </c>
      <c r="J24" s="13" t="s">
        <v>66</v>
      </c>
      <c r="K24" s="64">
        <v>46134</v>
      </c>
      <c r="M24" s="13" t="s">
        <v>66</v>
      </c>
      <c r="N24" s="64">
        <v>46134</v>
      </c>
      <c r="P24" s="35" t="s">
        <v>66</v>
      </c>
      <c r="Q24" s="64">
        <v>46134</v>
      </c>
    </row>
    <row r="25" spans="3:17" ht="18" x14ac:dyDescent="0.25">
      <c r="C25" s="13" t="s">
        <v>67</v>
      </c>
      <c r="D25" s="14" t="s">
        <v>126</v>
      </c>
      <c r="G25" s="13" t="s">
        <v>67</v>
      </c>
      <c r="H25" s="14" t="s">
        <v>126</v>
      </c>
      <c r="J25" s="13" t="s">
        <v>67</v>
      </c>
      <c r="K25" s="14" t="s">
        <v>126</v>
      </c>
      <c r="M25" s="13" t="s">
        <v>67</v>
      </c>
      <c r="N25" s="14" t="s">
        <v>126</v>
      </c>
      <c r="P25" s="35" t="s">
        <v>67</v>
      </c>
      <c r="Q25" s="14" t="s">
        <v>126</v>
      </c>
    </row>
    <row r="26" spans="3:17" ht="30" x14ac:dyDescent="0.25">
      <c r="C26" s="13" t="s">
        <v>68</v>
      </c>
      <c r="D26" s="32" t="s">
        <v>122</v>
      </c>
      <c r="G26" s="13" t="s">
        <v>68</v>
      </c>
      <c r="H26" s="32" t="s">
        <v>122</v>
      </c>
      <c r="J26" s="13" t="s">
        <v>68</v>
      </c>
      <c r="K26" s="32" t="s">
        <v>122</v>
      </c>
      <c r="M26" s="13" t="s">
        <v>68</v>
      </c>
      <c r="N26" s="32" t="s">
        <v>122</v>
      </c>
      <c r="P26" s="35" t="s">
        <v>68</v>
      </c>
      <c r="Q26" s="38" t="s">
        <v>252</v>
      </c>
    </row>
    <row r="27" spans="3:17" ht="18" x14ac:dyDescent="0.25">
      <c r="C27" s="13" t="s">
        <v>69</v>
      </c>
      <c r="D27" s="14" t="s">
        <v>233</v>
      </c>
      <c r="G27" s="13" t="s">
        <v>69</v>
      </c>
      <c r="H27" s="14" t="s">
        <v>233</v>
      </c>
      <c r="J27" s="13" t="s">
        <v>69</v>
      </c>
      <c r="K27" s="14" t="s">
        <v>233</v>
      </c>
      <c r="M27" s="13" t="s">
        <v>69</v>
      </c>
      <c r="N27" s="14" t="s">
        <v>246</v>
      </c>
      <c r="P27" s="35" t="s">
        <v>69</v>
      </c>
      <c r="Q27" s="14" t="s">
        <v>246</v>
      </c>
    </row>
    <row r="28" spans="3:17" ht="18" x14ac:dyDescent="0.25">
      <c r="C28" s="13" t="s">
        <v>12</v>
      </c>
      <c r="D28" s="14" t="s">
        <v>124</v>
      </c>
      <c r="G28" s="13" t="s">
        <v>12</v>
      </c>
      <c r="H28" s="14" t="s">
        <v>124</v>
      </c>
      <c r="J28" s="13" t="s">
        <v>12</v>
      </c>
      <c r="K28" s="14" t="s">
        <v>124</v>
      </c>
      <c r="M28" s="13" t="s">
        <v>12</v>
      </c>
      <c r="N28" s="14" t="s">
        <v>124</v>
      </c>
      <c r="P28" s="35" t="s">
        <v>12</v>
      </c>
      <c r="Q28" s="14" t="s">
        <v>124</v>
      </c>
    </row>
    <row r="29" spans="3:17" ht="18" x14ac:dyDescent="0.25">
      <c r="C29" s="13" t="s">
        <v>70</v>
      </c>
      <c r="D29" s="14" t="s">
        <v>225</v>
      </c>
      <c r="G29" s="13" t="s">
        <v>70</v>
      </c>
      <c r="H29" s="14" t="s">
        <v>240</v>
      </c>
      <c r="J29" s="13" t="s">
        <v>70</v>
      </c>
      <c r="K29" s="14" t="s">
        <v>243</v>
      </c>
      <c r="M29" s="13" t="s">
        <v>70</v>
      </c>
      <c r="N29" s="14" t="s">
        <v>225</v>
      </c>
      <c r="P29" s="35" t="s">
        <v>70</v>
      </c>
      <c r="Q29" s="14" t="s">
        <v>225</v>
      </c>
    </row>
    <row r="30" spans="3:17" ht="18" x14ac:dyDescent="0.25">
      <c r="C30" s="13" t="s">
        <v>71</v>
      </c>
      <c r="D30" s="33" t="s">
        <v>221</v>
      </c>
      <c r="G30" s="13" t="s">
        <v>71</v>
      </c>
      <c r="H30" s="33" t="s">
        <v>221</v>
      </c>
      <c r="J30" s="13" t="s">
        <v>71</v>
      </c>
      <c r="K30" s="33" t="s">
        <v>128</v>
      </c>
      <c r="M30" s="13" t="s">
        <v>71</v>
      </c>
      <c r="N30" s="33" t="s">
        <v>247</v>
      </c>
      <c r="P30" s="35" t="s">
        <v>71</v>
      </c>
      <c r="Q30" s="39" t="s">
        <v>253</v>
      </c>
    </row>
    <row r="31" spans="3:17" ht="18" x14ac:dyDescent="0.25">
      <c r="C31" s="13" t="s">
        <v>217</v>
      </c>
      <c r="D31" s="33" t="s">
        <v>221</v>
      </c>
      <c r="G31" s="13" t="s">
        <v>217</v>
      </c>
      <c r="H31" s="33" t="s">
        <v>221</v>
      </c>
      <c r="J31" s="13" t="s">
        <v>217</v>
      </c>
      <c r="K31" s="33" t="s">
        <v>128</v>
      </c>
      <c r="M31" s="13" t="s">
        <v>217</v>
      </c>
      <c r="N31" s="33" t="s">
        <v>248</v>
      </c>
      <c r="P31" s="35" t="s">
        <v>217</v>
      </c>
      <c r="Q31" s="39" t="s">
        <v>221</v>
      </c>
    </row>
    <row r="32" spans="3:17" ht="18" x14ac:dyDescent="0.25">
      <c r="C32" s="13" t="s">
        <v>72</v>
      </c>
      <c r="D32" s="14" t="s">
        <v>238</v>
      </c>
      <c r="G32" s="13" t="s">
        <v>72</v>
      </c>
      <c r="H32" s="14" t="s">
        <v>241</v>
      </c>
      <c r="J32" s="13" t="s">
        <v>72</v>
      </c>
      <c r="K32" s="14" t="s">
        <v>244</v>
      </c>
      <c r="M32" s="13" t="s">
        <v>72</v>
      </c>
      <c r="N32" s="14" t="s">
        <v>249</v>
      </c>
      <c r="P32" s="35" t="s">
        <v>72</v>
      </c>
      <c r="Q32" s="14" t="s">
        <v>254</v>
      </c>
    </row>
    <row r="33" spans="3:17" ht="60" x14ac:dyDescent="0.25">
      <c r="C33" s="13" t="s">
        <v>11</v>
      </c>
      <c r="D33" s="62" t="s">
        <v>328</v>
      </c>
      <c r="G33" s="13" t="s">
        <v>11</v>
      </c>
      <c r="H33" s="62" t="s">
        <v>329</v>
      </c>
      <c r="J33" s="13" t="s">
        <v>11</v>
      </c>
      <c r="K33" s="62" t="s">
        <v>330</v>
      </c>
      <c r="M33" s="13" t="s">
        <v>11</v>
      </c>
      <c r="N33" s="62" t="s">
        <v>331</v>
      </c>
      <c r="P33" s="35" t="s">
        <v>11</v>
      </c>
      <c r="Q33" s="62" t="s">
        <v>332</v>
      </c>
    </row>
    <row r="34" spans="3:17" ht="18" x14ac:dyDescent="0.25">
      <c r="C34" s="13" t="s">
        <v>15</v>
      </c>
      <c r="D34" s="28" t="s">
        <v>223</v>
      </c>
      <c r="G34" s="13" t="s">
        <v>15</v>
      </c>
      <c r="H34" s="14" t="s">
        <v>223</v>
      </c>
      <c r="J34" s="13" t="s">
        <v>15</v>
      </c>
      <c r="K34" s="28" t="s">
        <v>223</v>
      </c>
      <c r="M34" s="13" t="s">
        <v>15</v>
      </c>
      <c r="N34" s="28" t="s">
        <v>223</v>
      </c>
      <c r="P34" s="35" t="s">
        <v>15</v>
      </c>
      <c r="Q34" s="40" t="s">
        <v>223</v>
      </c>
    </row>
    <row r="38" spans="3:17" ht="18" x14ac:dyDescent="0.25">
      <c r="C38" s="34" t="s">
        <v>64</v>
      </c>
      <c r="D38" s="34" t="s">
        <v>65</v>
      </c>
      <c r="G38" s="34" t="s">
        <v>64</v>
      </c>
      <c r="H38" s="34" t="s">
        <v>65</v>
      </c>
      <c r="J38" s="34" t="s">
        <v>64</v>
      </c>
      <c r="K38" s="34" t="s">
        <v>65</v>
      </c>
      <c r="M38" s="34" t="s">
        <v>64</v>
      </c>
      <c r="N38" s="34" t="s">
        <v>65</v>
      </c>
      <c r="P38" s="34" t="s">
        <v>64</v>
      </c>
      <c r="Q38" s="34" t="s">
        <v>65</v>
      </c>
    </row>
    <row r="39" spans="3:17" ht="18" x14ac:dyDescent="0.25">
      <c r="C39" s="35" t="s">
        <v>3</v>
      </c>
      <c r="D39" s="28" t="s">
        <v>164</v>
      </c>
      <c r="G39" s="35" t="s">
        <v>3</v>
      </c>
      <c r="H39" s="28" t="s">
        <v>165</v>
      </c>
      <c r="J39" s="35" t="s">
        <v>3</v>
      </c>
      <c r="K39" s="28" t="s">
        <v>166</v>
      </c>
      <c r="M39" s="35" t="s">
        <v>3</v>
      </c>
      <c r="N39" s="28" t="s">
        <v>173</v>
      </c>
      <c r="P39" s="35" t="s">
        <v>3</v>
      </c>
      <c r="Q39" s="28" t="s">
        <v>177</v>
      </c>
    </row>
    <row r="40" spans="3:17" ht="18" x14ac:dyDescent="0.25">
      <c r="C40" s="35" t="s">
        <v>10</v>
      </c>
      <c r="D40" s="28" t="s">
        <v>255</v>
      </c>
      <c r="G40" s="35" t="s">
        <v>10</v>
      </c>
      <c r="H40" s="28" t="s">
        <v>259</v>
      </c>
      <c r="J40" s="35" t="s">
        <v>10</v>
      </c>
      <c r="K40" s="28" t="s">
        <v>263</v>
      </c>
      <c r="M40" s="35" t="s">
        <v>10</v>
      </c>
      <c r="N40" s="28" t="s">
        <v>268</v>
      </c>
      <c r="P40" s="35" t="s">
        <v>10</v>
      </c>
      <c r="Q40" s="65" t="s">
        <v>272</v>
      </c>
    </row>
    <row r="41" spans="3:17" ht="18" x14ac:dyDescent="0.25">
      <c r="C41" s="35" t="s">
        <v>66</v>
      </c>
      <c r="D41" s="63">
        <v>46134</v>
      </c>
      <c r="G41" s="35" t="s">
        <v>66</v>
      </c>
      <c r="H41" s="63">
        <v>46134</v>
      </c>
      <c r="J41" s="35" t="s">
        <v>66</v>
      </c>
      <c r="K41" s="63">
        <v>46134</v>
      </c>
      <c r="M41" s="35" t="s">
        <v>66</v>
      </c>
      <c r="N41" s="63">
        <v>46134</v>
      </c>
      <c r="P41" s="35" t="s">
        <v>66</v>
      </c>
      <c r="Q41" s="63">
        <v>46134</v>
      </c>
    </row>
    <row r="42" spans="3:17" ht="18" x14ac:dyDescent="0.25">
      <c r="C42" s="35" t="s">
        <v>67</v>
      </c>
      <c r="D42" s="28" t="s">
        <v>126</v>
      </c>
      <c r="G42" s="35" t="s">
        <v>67</v>
      </c>
      <c r="H42" s="28" t="s">
        <v>126</v>
      </c>
      <c r="J42" s="35" t="s">
        <v>67</v>
      </c>
      <c r="K42" s="28" t="s">
        <v>126</v>
      </c>
      <c r="M42" s="35" t="s">
        <v>67</v>
      </c>
      <c r="N42" s="28" t="s">
        <v>126</v>
      </c>
      <c r="P42" s="35" t="s">
        <v>67</v>
      </c>
      <c r="Q42" s="28" t="s">
        <v>126</v>
      </c>
    </row>
    <row r="43" spans="3:17" ht="45" x14ac:dyDescent="0.25">
      <c r="C43" s="35" t="s">
        <v>68</v>
      </c>
      <c r="D43" s="38" t="s">
        <v>252</v>
      </c>
      <c r="G43" s="35" t="s">
        <v>68</v>
      </c>
      <c r="H43" s="32" t="s">
        <v>260</v>
      </c>
      <c r="J43" s="35" t="s">
        <v>68</v>
      </c>
      <c r="K43" s="32" t="s">
        <v>260</v>
      </c>
      <c r="M43" s="35" t="s">
        <v>68</v>
      </c>
      <c r="N43" s="32" t="s">
        <v>260</v>
      </c>
      <c r="P43" s="35" t="s">
        <v>68</v>
      </c>
      <c r="Q43" s="32" t="s">
        <v>252</v>
      </c>
    </row>
    <row r="44" spans="3:17" ht="18" x14ac:dyDescent="0.25">
      <c r="C44" s="35" t="s">
        <v>69</v>
      </c>
      <c r="D44" s="28" t="s">
        <v>178</v>
      </c>
      <c r="G44" s="35" t="s">
        <v>69</v>
      </c>
      <c r="H44" s="28" t="s">
        <v>246</v>
      </c>
      <c r="J44" s="35" t="s">
        <v>69</v>
      </c>
      <c r="K44" s="28" t="s">
        <v>178</v>
      </c>
      <c r="M44" s="35" t="s">
        <v>69</v>
      </c>
      <c r="N44" s="28" t="s">
        <v>178</v>
      </c>
      <c r="P44" s="35" t="s">
        <v>69</v>
      </c>
      <c r="Q44" s="28" t="s">
        <v>178</v>
      </c>
    </row>
    <row r="45" spans="3:17" ht="18" x14ac:dyDescent="0.25">
      <c r="C45" s="35" t="s">
        <v>12</v>
      </c>
      <c r="D45" s="28" t="s">
        <v>124</v>
      </c>
      <c r="G45" s="35" t="s">
        <v>12</v>
      </c>
      <c r="H45" s="28" t="s">
        <v>124</v>
      </c>
      <c r="J45" s="35" t="s">
        <v>12</v>
      </c>
      <c r="K45" s="28" t="s">
        <v>124</v>
      </c>
      <c r="M45" s="35" t="s">
        <v>12</v>
      </c>
      <c r="N45" s="28" t="s">
        <v>124</v>
      </c>
      <c r="P45" s="35" t="s">
        <v>12</v>
      </c>
      <c r="Q45" s="28" t="s">
        <v>124</v>
      </c>
    </row>
    <row r="46" spans="3:17" ht="18" x14ac:dyDescent="0.25">
      <c r="C46" s="35" t="s">
        <v>70</v>
      </c>
      <c r="D46" s="28" t="s">
        <v>256</v>
      </c>
      <c r="G46" s="35" t="s">
        <v>70</v>
      </c>
      <c r="H46" s="28" t="s">
        <v>219</v>
      </c>
      <c r="J46" s="35" t="s">
        <v>70</v>
      </c>
      <c r="K46" s="28" t="s">
        <v>264</v>
      </c>
      <c r="M46" s="35" t="s">
        <v>70</v>
      </c>
      <c r="N46" s="28" t="s">
        <v>269</v>
      </c>
      <c r="P46" s="35" t="s">
        <v>70</v>
      </c>
      <c r="Q46" s="28" t="s">
        <v>273</v>
      </c>
    </row>
    <row r="47" spans="3:17" ht="18" x14ac:dyDescent="0.25">
      <c r="C47" s="35" t="s">
        <v>71</v>
      </c>
      <c r="D47" s="41" t="s">
        <v>257</v>
      </c>
      <c r="G47" s="35" t="s">
        <v>71</v>
      </c>
      <c r="H47" s="37" t="s">
        <v>261</v>
      </c>
      <c r="J47" s="35" t="s">
        <v>71</v>
      </c>
      <c r="K47" s="37" t="s">
        <v>265</v>
      </c>
      <c r="M47" s="35" t="s">
        <v>71</v>
      </c>
      <c r="N47" s="37" t="s">
        <v>270</v>
      </c>
      <c r="P47" s="35" t="s">
        <v>71</v>
      </c>
      <c r="Q47" s="37" t="s">
        <v>266</v>
      </c>
    </row>
    <row r="48" spans="3:17" ht="18" x14ac:dyDescent="0.25">
      <c r="C48" s="35" t="s">
        <v>217</v>
      </c>
      <c r="D48" s="41" t="s">
        <v>257</v>
      </c>
      <c r="G48" s="35" t="s">
        <v>217</v>
      </c>
      <c r="H48" s="37" t="s">
        <v>221</v>
      </c>
      <c r="J48" s="35" t="s">
        <v>217</v>
      </c>
      <c r="K48" s="37" t="s">
        <v>266</v>
      </c>
      <c r="M48" s="35" t="s">
        <v>217</v>
      </c>
      <c r="N48" s="37" t="s">
        <v>266</v>
      </c>
      <c r="P48" s="35" t="s">
        <v>217</v>
      </c>
      <c r="Q48" s="37" t="s">
        <v>266</v>
      </c>
    </row>
    <row r="49" spans="3:17" ht="18" x14ac:dyDescent="0.25">
      <c r="C49" s="35" t="s">
        <v>72</v>
      </c>
      <c r="D49" s="28" t="s">
        <v>258</v>
      </c>
      <c r="G49" s="35" t="s">
        <v>72</v>
      </c>
      <c r="H49" s="28" t="s">
        <v>262</v>
      </c>
      <c r="J49" s="35" t="s">
        <v>72</v>
      </c>
      <c r="K49" s="28" t="s">
        <v>267</v>
      </c>
      <c r="M49" s="35" t="s">
        <v>72</v>
      </c>
      <c r="N49" s="28" t="s">
        <v>271</v>
      </c>
      <c r="P49" s="35" t="s">
        <v>72</v>
      </c>
      <c r="Q49" s="28" t="s">
        <v>274</v>
      </c>
    </row>
    <row r="50" spans="3:17" ht="60" x14ac:dyDescent="0.25">
      <c r="C50" s="35" t="s">
        <v>11</v>
      </c>
      <c r="D50" s="28" t="s">
        <v>337</v>
      </c>
      <c r="G50" s="35" t="s">
        <v>11</v>
      </c>
      <c r="H50" s="62" t="s">
        <v>336</v>
      </c>
      <c r="J50" s="35" t="s">
        <v>11</v>
      </c>
      <c r="K50" s="62" t="s">
        <v>335</v>
      </c>
      <c r="M50" s="35" t="s">
        <v>11</v>
      </c>
      <c r="N50" s="62" t="s">
        <v>334</v>
      </c>
      <c r="P50" s="35" t="s">
        <v>11</v>
      </c>
      <c r="Q50" s="62" t="s">
        <v>333</v>
      </c>
    </row>
    <row r="51" spans="3:17" ht="18" x14ac:dyDescent="0.25">
      <c r="C51" s="35" t="s">
        <v>15</v>
      </c>
      <c r="D51" s="40" t="s">
        <v>223</v>
      </c>
      <c r="G51" s="35" t="s">
        <v>15</v>
      </c>
      <c r="H51" s="28" t="s">
        <v>223</v>
      </c>
      <c r="J51" s="35" t="s">
        <v>15</v>
      </c>
      <c r="K51" s="28" t="s">
        <v>223</v>
      </c>
      <c r="M51" s="35" t="s">
        <v>15</v>
      </c>
      <c r="N51" s="28" t="s">
        <v>223</v>
      </c>
      <c r="P51" s="35" t="s">
        <v>15</v>
      </c>
      <c r="Q51" s="28" t="s">
        <v>223</v>
      </c>
    </row>
    <row r="53" spans="3:17" ht="18" x14ac:dyDescent="0.25">
      <c r="C53" s="34" t="s">
        <v>286</v>
      </c>
      <c r="D53" s="34" t="s">
        <v>65</v>
      </c>
      <c r="G53" s="34" t="s">
        <v>64</v>
      </c>
      <c r="H53" s="34" t="s">
        <v>65</v>
      </c>
      <c r="J53" s="34" t="s">
        <v>64</v>
      </c>
      <c r="K53" s="34" t="s">
        <v>65</v>
      </c>
      <c r="M53" s="34" t="s">
        <v>64</v>
      </c>
      <c r="N53" s="34" t="s">
        <v>65</v>
      </c>
      <c r="P53" s="34" t="s">
        <v>64</v>
      </c>
      <c r="Q53" s="34" t="s">
        <v>65</v>
      </c>
    </row>
    <row r="54" spans="3:17" ht="18" x14ac:dyDescent="0.25">
      <c r="C54" s="35" t="s">
        <v>3</v>
      </c>
      <c r="D54" s="28" t="s">
        <v>182</v>
      </c>
      <c r="G54" s="35" t="s">
        <v>3</v>
      </c>
      <c r="H54" s="28" t="s">
        <v>184</v>
      </c>
      <c r="J54" s="35" t="s">
        <v>3</v>
      </c>
      <c r="K54" s="28" t="s">
        <v>188</v>
      </c>
      <c r="M54" s="35" t="s">
        <v>3</v>
      </c>
      <c r="N54" s="28" t="s">
        <v>189</v>
      </c>
      <c r="P54" s="35" t="s">
        <v>3</v>
      </c>
      <c r="Q54" s="28" t="s">
        <v>190</v>
      </c>
    </row>
    <row r="55" spans="3:17" ht="18" x14ac:dyDescent="0.25">
      <c r="C55" s="35" t="s">
        <v>10</v>
      </c>
      <c r="D55" s="28" t="s">
        <v>275</v>
      </c>
      <c r="G55" s="35" t="s">
        <v>10</v>
      </c>
      <c r="H55" s="28" t="s">
        <v>280</v>
      </c>
      <c r="J55" s="35" t="s">
        <v>10</v>
      </c>
      <c r="K55" s="28" t="s">
        <v>287</v>
      </c>
      <c r="M55" s="35" t="s">
        <v>10</v>
      </c>
      <c r="N55" s="28" t="s">
        <v>291</v>
      </c>
      <c r="P55" s="35" t="s">
        <v>10</v>
      </c>
      <c r="Q55" s="28" t="s">
        <v>295</v>
      </c>
    </row>
    <row r="56" spans="3:17" ht="18" x14ac:dyDescent="0.25">
      <c r="C56" s="35" t="s">
        <v>66</v>
      </c>
      <c r="D56" s="36">
        <v>46134</v>
      </c>
      <c r="G56" s="35" t="s">
        <v>66</v>
      </c>
      <c r="H56" s="36">
        <v>46134</v>
      </c>
      <c r="J56" s="35" t="s">
        <v>66</v>
      </c>
      <c r="K56" s="36">
        <v>46134</v>
      </c>
      <c r="M56" s="35" t="s">
        <v>66</v>
      </c>
      <c r="N56" s="36">
        <v>46134</v>
      </c>
      <c r="P56" s="35" t="s">
        <v>66</v>
      </c>
      <c r="Q56" s="36">
        <v>46134</v>
      </c>
    </row>
    <row r="57" spans="3:17" ht="18" x14ac:dyDescent="0.25">
      <c r="C57" s="35" t="s">
        <v>67</v>
      </c>
      <c r="D57" s="28" t="s">
        <v>126</v>
      </c>
      <c r="G57" s="35" t="s">
        <v>67</v>
      </c>
      <c r="H57" s="28" t="s">
        <v>126</v>
      </c>
      <c r="J57" s="35" t="s">
        <v>67</v>
      </c>
      <c r="K57" s="28" t="s">
        <v>126</v>
      </c>
      <c r="M57" s="35" t="s">
        <v>67</v>
      </c>
      <c r="N57" s="28" t="s">
        <v>126</v>
      </c>
      <c r="P57" s="35" t="s">
        <v>67</v>
      </c>
      <c r="Q57" s="28" t="s">
        <v>126</v>
      </c>
    </row>
    <row r="58" spans="3:17" ht="45" x14ac:dyDescent="0.25">
      <c r="C58" s="35" t="s">
        <v>68</v>
      </c>
      <c r="D58" s="38" t="s">
        <v>122</v>
      </c>
      <c r="G58" s="35" t="s">
        <v>68</v>
      </c>
      <c r="H58" s="38" t="s">
        <v>252</v>
      </c>
      <c r="J58" s="35" t="s">
        <v>68</v>
      </c>
      <c r="K58" s="38" t="s">
        <v>252</v>
      </c>
      <c r="M58" s="35" t="s">
        <v>68</v>
      </c>
      <c r="N58" s="38" t="s">
        <v>252</v>
      </c>
      <c r="P58" s="35" t="s">
        <v>68</v>
      </c>
      <c r="Q58" s="38" t="s">
        <v>252</v>
      </c>
    </row>
    <row r="59" spans="3:17" ht="18" x14ac:dyDescent="0.25">
      <c r="C59" s="35" t="s">
        <v>69</v>
      </c>
      <c r="D59" s="28" t="s">
        <v>178</v>
      </c>
      <c r="G59" s="35" t="s">
        <v>69</v>
      </c>
      <c r="H59" s="28" t="s">
        <v>281</v>
      </c>
      <c r="J59" s="35" t="s">
        <v>69</v>
      </c>
      <c r="K59" s="28" t="s">
        <v>281</v>
      </c>
      <c r="M59" s="35" t="s">
        <v>69</v>
      </c>
      <c r="N59" s="28" t="s">
        <v>281</v>
      </c>
      <c r="P59" s="35" t="s">
        <v>69</v>
      </c>
      <c r="Q59" s="28" t="s">
        <v>281</v>
      </c>
    </row>
    <row r="60" spans="3:17" ht="18" x14ac:dyDescent="0.25">
      <c r="C60" s="35" t="s">
        <v>12</v>
      </c>
      <c r="D60" s="28" t="s">
        <v>124</v>
      </c>
      <c r="G60" s="35" t="s">
        <v>12</v>
      </c>
      <c r="H60" s="28" t="s">
        <v>124</v>
      </c>
      <c r="J60" s="35" t="s">
        <v>12</v>
      </c>
      <c r="K60" s="28" t="s">
        <v>124</v>
      </c>
      <c r="M60" s="35" t="s">
        <v>12</v>
      </c>
      <c r="N60" s="28" t="s">
        <v>124</v>
      </c>
      <c r="P60" s="35" t="s">
        <v>12</v>
      </c>
      <c r="Q60" s="28" t="s">
        <v>124</v>
      </c>
    </row>
    <row r="61" spans="3:17" ht="18" x14ac:dyDescent="0.25">
      <c r="C61" s="35" t="s">
        <v>70</v>
      </c>
      <c r="D61" s="28" t="s">
        <v>276</v>
      </c>
      <c r="G61" s="35" t="s">
        <v>70</v>
      </c>
      <c r="H61" s="28" t="s">
        <v>282</v>
      </c>
      <c r="J61" s="35" t="s">
        <v>70</v>
      </c>
      <c r="K61" s="28" t="s">
        <v>288</v>
      </c>
      <c r="M61" s="35" t="s">
        <v>70</v>
      </c>
      <c r="N61" s="28" t="s">
        <v>292</v>
      </c>
      <c r="P61" s="35" t="s">
        <v>70</v>
      </c>
      <c r="Q61" s="28" t="s">
        <v>296</v>
      </c>
    </row>
    <row r="62" spans="3:17" ht="18" x14ac:dyDescent="0.25">
      <c r="C62" s="35" t="s">
        <v>71</v>
      </c>
      <c r="D62" s="41" t="s">
        <v>277</v>
      </c>
      <c r="G62" s="35" t="s">
        <v>71</v>
      </c>
      <c r="H62" s="41" t="s">
        <v>283</v>
      </c>
      <c r="J62" s="35" t="s">
        <v>71</v>
      </c>
      <c r="K62" s="41" t="s">
        <v>283</v>
      </c>
      <c r="M62" s="35" t="s">
        <v>71</v>
      </c>
      <c r="N62" s="41" t="s">
        <v>283</v>
      </c>
      <c r="P62" s="35" t="s">
        <v>71</v>
      </c>
      <c r="Q62" s="41" t="s">
        <v>283</v>
      </c>
    </row>
    <row r="63" spans="3:17" ht="18" x14ac:dyDescent="0.25">
      <c r="C63" s="35" t="s">
        <v>217</v>
      </c>
      <c r="D63" s="41" t="s">
        <v>277</v>
      </c>
      <c r="G63" s="35" t="s">
        <v>217</v>
      </c>
      <c r="H63" s="41" t="s">
        <v>283</v>
      </c>
      <c r="J63" s="35" t="s">
        <v>217</v>
      </c>
      <c r="K63" s="41" t="s">
        <v>283</v>
      </c>
      <c r="M63" s="35" t="s">
        <v>217</v>
      </c>
      <c r="N63" s="41" t="s">
        <v>283</v>
      </c>
      <c r="P63" s="35" t="s">
        <v>217</v>
      </c>
      <c r="Q63" s="41" t="s">
        <v>283</v>
      </c>
    </row>
    <row r="64" spans="3:17" ht="18" x14ac:dyDescent="0.25">
      <c r="C64" s="35" t="s">
        <v>72</v>
      </c>
      <c r="D64" s="28" t="s">
        <v>278</v>
      </c>
      <c r="G64" s="35" t="s">
        <v>72</v>
      </c>
      <c r="H64" s="28" t="s">
        <v>284</v>
      </c>
      <c r="J64" s="35" t="s">
        <v>72</v>
      </c>
      <c r="K64" s="28" t="s">
        <v>289</v>
      </c>
      <c r="M64" s="35" t="s">
        <v>72</v>
      </c>
      <c r="N64" s="28" t="s">
        <v>293</v>
      </c>
      <c r="P64" s="35" t="s">
        <v>72</v>
      </c>
      <c r="Q64" s="28" t="s">
        <v>297</v>
      </c>
    </row>
    <row r="65" spans="3:17" ht="45" x14ac:dyDescent="0.25">
      <c r="C65" s="35" t="s">
        <v>11</v>
      </c>
      <c r="D65" s="28" t="s">
        <v>279</v>
      </c>
      <c r="G65" s="35" t="s">
        <v>11</v>
      </c>
      <c r="H65" s="28" t="s">
        <v>285</v>
      </c>
      <c r="J65" s="35" t="s">
        <v>11</v>
      </c>
      <c r="K65" s="28" t="s">
        <v>290</v>
      </c>
      <c r="M65" s="35" t="s">
        <v>11</v>
      </c>
      <c r="N65" s="28" t="s">
        <v>294</v>
      </c>
      <c r="P65" s="35" t="s">
        <v>11</v>
      </c>
      <c r="Q65" s="28" t="s">
        <v>298</v>
      </c>
    </row>
    <row r="66" spans="3:17" ht="18" x14ac:dyDescent="0.25">
      <c r="C66" s="35" t="s">
        <v>15</v>
      </c>
      <c r="D66" s="28" t="s">
        <v>223</v>
      </c>
      <c r="G66" s="35" t="s">
        <v>15</v>
      </c>
      <c r="H66" s="28" t="s">
        <v>223</v>
      </c>
      <c r="J66" s="35" t="s">
        <v>15</v>
      </c>
      <c r="K66" s="28" t="s">
        <v>223</v>
      </c>
      <c r="M66" s="35" t="s">
        <v>15</v>
      </c>
      <c r="N66" s="36" t="s">
        <v>223</v>
      </c>
      <c r="P66" s="35" t="s">
        <v>15</v>
      </c>
      <c r="Q66" s="36" t="s">
        <v>223</v>
      </c>
    </row>
    <row r="70" spans="3:17" ht="18" x14ac:dyDescent="0.25">
      <c r="C70" s="34" t="s">
        <v>64</v>
      </c>
      <c r="D70" s="34" t="s">
        <v>65</v>
      </c>
      <c r="G70" s="34" t="s">
        <v>64</v>
      </c>
      <c r="H70" s="34" t="s">
        <v>65</v>
      </c>
      <c r="J70" s="34" t="s">
        <v>64</v>
      </c>
      <c r="K70" s="34" t="s">
        <v>65</v>
      </c>
      <c r="M70" s="34" t="s">
        <v>64</v>
      </c>
      <c r="N70" s="34" t="s">
        <v>65</v>
      </c>
      <c r="P70" s="34" t="s">
        <v>64</v>
      </c>
      <c r="Q70" s="34" t="s">
        <v>65</v>
      </c>
    </row>
    <row r="71" spans="3:17" ht="18" x14ac:dyDescent="0.25">
      <c r="C71" s="35" t="s">
        <v>3</v>
      </c>
      <c r="D71" s="28" t="s">
        <v>193</v>
      </c>
      <c r="G71" s="35" t="s">
        <v>3</v>
      </c>
      <c r="H71" s="28" t="s">
        <v>195</v>
      </c>
      <c r="J71" s="35" t="s">
        <v>3</v>
      </c>
      <c r="K71" s="28" t="s">
        <v>196</v>
      </c>
      <c r="M71" s="35" t="s">
        <v>3</v>
      </c>
      <c r="N71" s="28" t="s">
        <v>197</v>
      </c>
      <c r="P71" s="35" t="s">
        <v>3</v>
      </c>
      <c r="Q71" s="28" t="s">
        <v>198</v>
      </c>
    </row>
    <row r="72" spans="3:17" ht="18" x14ac:dyDescent="0.25">
      <c r="C72" s="35" t="s">
        <v>10</v>
      </c>
      <c r="D72" s="28" t="s">
        <v>299</v>
      </c>
      <c r="G72" s="35" t="s">
        <v>10</v>
      </c>
      <c r="H72" s="28" t="s">
        <v>295</v>
      </c>
      <c r="J72" s="35" t="s">
        <v>10</v>
      </c>
      <c r="K72" s="28" t="s">
        <v>304</v>
      </c>
      <c r="M72" s="35" t="s">
        <v>10</v>
      </c>
      <c r="N72" s="28" t="s">
        <v>311</v>
      </c>
      <c r="P72" s="35" t="s">
        <v>10</v>
      </c>
      <c r="Q72" s="28" t="s">
        <v>314</v>
      </c>
    </row>
    <row r="73" spans="3:17" ht="18" x14ac:dyDescent="0.25">
      <c r="C73" s="35" t="s">
        <v>66</v>
      </c>
      <c r="D73" s="36">
        <v>46134</v>
      </c>
      <c r="G73" s="35" t="s">
        <v>66</v>
      </c>
      <c r="H73" s="36">
        <v>46134</v>
      </c>
      <c r="J73" s="35" t="s">
        <v>66</v>
      </c>
      <c r="K73" s="36">
        <v>46134</v>
      </c>
      <c r="M73" s="35" t="s">
        <v>66</v>
      </c>
      <c r="N73" s="36">
        <v>46134</v>
      </c>
      <c r="P73" s="35" t="s">
        <v>66</v>
      </c>
      <c r="Q73" s="36">
        <v>46134</v>
      </c>
    </row>
    <row r="74" spans="3:17" ht="18" x14ac:dyDescent="0.25">
      <c r="C74" s="35" t="s">
        <v>67</v>
      </c>
      <c r="D74" s="28" t="s">
        <v>126</v>
      </c>
      <c r="G74" s="35" t="s">
        <v>67</v>
      </c>
      <c r="H74" s="28" t="s">
        <v>126</v>
      </c>
      <c r="J74" s="35" t="s">
        <v>67</v>
      </c>
      <c r="K74" s="28" t="s">
        <v>126</v>
      </c>
      <c r="M74" s="35" t="s">
        <v>67</v>
      </c>
      <c r="N74" s="28" t="s">
        <v>126</v>
      </c>
      <c r="P74" s="35" t="s">
        <v>67</v>
      </c>
      <c r="Q74" s="28" t="s">
        <v>126</v>
      </c>
    </row>
    <row r="75" spans="3:17" ht="45" x14ac:dyDescent="0.25">
      <c r="C75" s="35" t="s">
        <v>68</v>
      </c>
      <c r="D75" s="38" t="s">
        <v>252</v>
      </c>
      <c r="G75" s="35" t="s">
        <v>68</v>
      </c>
      <c r="H75" s="38" t="s">
        <v>252</v>
      </c>
      <c r="J75" s="35" t="s">
        <v>68</v>
      </c>
      <c r="K75" s="38" t="s">
        <v>260</v>
      </c>
      <c r="M75" s="35" t="s">
        <v>68</v>
      </c>
      <c r="N75" s="38" t="s">
        <v>252</v>
      </c>
      <c r="P75" s="35" t="s">
        <v>68</v>
      </c>
      <c r="Q75" s="38" t="s">
        <v>260</v>
      </c>
    </row>
    <row r="76" spans="3:17" ht="18" x14ac:dyDescent="0.25">
      <c r="C76" s="35" t="s">
        <v>69</v>
      </c>
      <c r="D76" s="28" t="s">
        <v>281</v>
      </c>
      <c r="G76" s="35" t="s">
        <v>69</v>
      </c>
      <c r="H76" s="28" t="s">
        <v>281</v>
      </c>
      <c r="J76" s="35" t="s">
        <v>69</v>
      </c>
      <c r="K76" s="28" t="s">
        <v>305</v>
      </c>
      <c r="M76" s="35" t="s">
        <v>69</v>
      </c>
      <c r="N76" s="28" t="s">
        <v>305</v>
      </c>
      <c r="P76" s="35" t="s">
        <v>69</v>
      </c>
      <c r="Q76" s="28" t="s">
        <v>305</v>
      </c>
    </row>
    <row r="77" spans="3:17" ht="18" x14ac:dyDescent="0.25">
      <c r="C77" s="35" t="s">
        <v>12</v>
      </c>
      <c r="D77" s="28" t="s">
        <v>124</v>
      </c>
      <c r="G77" s="35" t="s">
        <v>12</v>
      </c>
      <c r="H77" s="28" t="s">
        <v>124</v>
      </c>
      <c r="J77" s="35" t="s">
        <v>12</v>
      </c>
      <c r="K77" s="28" t="s">
        <v>124</v>
      </c>
      <c r="M77" s="35" t="s">
        <v>12</v>
      </c>
      <c r="N77" s="28" t="s">
        <v>124</v>
      </c>
      <c r="P77" s="35" t="s">
        <v>12</v>
      </c>
      <c r="Q77" s="28" t="s">
        <v>124</v>
      </c>
    </row>
    <row r="78" spans="3:17" ht="18" x14ac:dyDescent="0.25">
      <c r="C78" s="35" t="s">
        <v>70</v>
      </c>
      <c r="D78" s="28" t="s">
        <v>300</v>
      </c>
      <c r="G78" s="35" t="s">
        <v>70</v>
      </c>
      <c r="H78" s="28" t="s">
        <v>296</v>
      </c>
      <c r="J78" s="35" t="s">
        <v>70</v>
      </c>
      <c r="K78" s="28" t="s">
        <v>306</v>
      </c>
      <c r="M78" s="35" t="s">
        <v>70</v>
      </c>
      <c r="N78" s="28" t="s">
        <v>306</v>
      </c>
      <c r="P78" s="35" t="s">
        <v>70</v>
      </c>
      <c r="Q78" s="28" t="s">
        <v>315</v>
      </c>
    </row>
    <row r="79" spans="3:17" ht="18" x14ac:dyDescent="0.25">
      <c r="C79" s="35" t="s">
        <v>71</v>
      </c>
      <c r="D79" s="41" t="s">
        <v>283</v>
      </c>
      <c r="G79" s="35" t="s">
        <v>71</v>
      </c>
      <c r="H79" s="41" t="s">
        <v>283</v>
      </c>
      <c r="J79" s="35" t="s">
        <v>71</v>
      </c>
      <c r="K79" s="41" t="s">
        <v>307</v>
      </c>
      <c r="M79" s="35" t="s">
        <v>71</v>
      </c>
      <c r="N79" s="41" t="s">
        <v>307</v>
      </c>
      <c r="P79" s="35" t="s">
        <v>71</v>
      </c>
      <c r="Q79" s="41" t="s">
        <v>307</v>
      </c>
    </row>
    <row r="80" spans="3:17" ht="18" x14ac:dyDescent="0.25">
      <c r="C80" s="35" t="s">
        <v>217</v>
      </c>
      <c r="D80" s="41" t="s">
        <v>283</v>
      </c>
      <c r="G80" s="35" t="s">
        <v>217</v>
      </c>
      <c r="H80" s="41" t="s">
        <v>283</v>
      </c>
      <c r="J80" s="35" t="s">
        <v>217</v>
      </c>
      <c r="K80" s="41" t="s">
        <v>308</v>
      </c>
      <c r="M80" s="35" t="s">
        <v>217</v>
      </c>
      <c r="N80" s="41" t="s">
        <v>308</v>
      </c>
      <c r="P80" s="35" t="s">
        <v>217</v>
      </c>
      <c r="Q80" s="41" t="s">
        <v>308</v>
      </c>
    </row>
    <row r="81" spans="3:17" ht="18" x14ac:dyDescent="0.25">
      <c r="C81" s="35" t="s">
        <v>72</v>
      </c>
      <c r="D81" s="28" t="s">
        <v>301</v>
      </c>
      <c r="G81" s="35" t="s">
        <v>72</v>
      </c>
      <c r="H81" s="28" t="s">
        <v>303</v>
      </c>
      <c r="J81" s="35" t="s">
        <v>72</v>
      </c>
      <c r="K81" s="28" t="s">
        <v>309</v>
      </c>
      <c r="M81" s="35" t="s">
        <v>72</v>
      </c>
      <c r="N81" s="28" t="s">
        <v>312</v>
      </c>
      <c r="P81" s="35" t="s">
        <v>72</v>
      </c>
      <c r="Q81" s="28" t="s">
        <v>316</v>
      </c>
    </row>
    <row r="82" spans="3:17" ht="45" x14ac:dyDescent="0.25">
      <c r="C82" s="35" t="s">
        <v>11</v>
      </c>
      <c r="D82" s="28" t="s">
        <v>302</v>
      </c>
      <c r="G82" s="35" t="s">
        <v>11</v>
      </c>
      <c r="H82" s="28" t="s">
        <v>298</v>
      </c>
      <c r="J82" s="35" t="s">
        <v>11</v>
      </c>
      <c r="K82" s="28" t="s">
        <v>310</v>
      </c>
      <c r="M82" s="35" t="s">
        <v>11</v>
      </c>
      <c r="N82" s="28" t="s">
        <v>313</v>
      </c>
      <c r="P82" s="35" t="s">
        <v>11</v>
      </c>
      <c r="Q82" s="28" t="s">
        <v>317</v>
      </c>
    </row>
    <row r="83" spans="3:17" ht="18" x14ac:dyDescent="0.25">
      <c r="C83" s="35" t="s">
        <v>15</v>
      </c>
      <c r="D83" s="36" t="s">
        <v>223</v>
      </c>
      <c r="G83" s="35" t="s">
        <v>15</v>
      </c>
      <c r="H83" s="36" t="s">
        <v>223</v>
      </c>
      <c r="J83" s="35" t="s">
        <v>15</v>
      </c>
      <c r="K83" s="28" t="s">
        <v>223</v>
      </c>
      <c r="M83" s="35" t="s">
        <v>15</v>
      </c>
      <c r="N83" s="28" t="s">
        <v>223</v>
      </c>
      <c r="P83" s="35" t="s">
        <v>15</v>
      </c>
      <c r="Q83" s="35" t="s">
        <v>223</v>
      </c>
    </row>
    <row r="88" spans="3:17" ht="18" x14ac:dyDescent="0.25">
      <c r="C88" s="34" t="s">
        <v>64</v>
      </c>
      <c r="D88" s="34" t="s">
        <v>65</v>
      </c>
    </row>
    <row r="89" spans="3:17" ht="18" x14ac:dyDescent="0.25">
      <c r="C89" s="35" t="s">
        <v>3</v>
      </c>
      <c r="D89" s="28" t="s">
        <v>199</v>
      </c>
    </row>
    <row r="90" spans="3:17" ht="18" x14ac:dyDescent="0.25">
      <c r="C90" s="35" t="s">
        <v>10</v>
      </c>
      <c r="D90" s="28" t="s">
        <v>318</v>
      </c>
    </row>
    <row r="91" spans="3:17" ht="18" x14ac:dyDescent="0.25">
      <c r="C91" s="35" t="s">
        <v>66</v>
      </c>
      <c r="D91" s="36">
        <v>46134</v>
      </c>
    </row>
    <row r="92" spans="3:17" ht="18" x14ac:dyDescent="0.25">
      <c r="C92" s="35" t="s">
        <v>67</v>
      </c>
      <c r="D92" s="28" t="s">
        <v>126</v>
      </c>
    </row>
    <row r="93" spans="3:17" ht="18" x14ac:dyDescent="0.25">
      <c r="C93" s="35" t="s">
        <v>68</v>
      </c>
      <c r="D93" s="38" t="s">
        <v>122</v>
      </c>
    </row>
    <row r="94" spans="3:17" ht="18" x14ac:dyDescent="0.25">
      <c r="C94" s="35" t="s">
        <v>69</v>
      </c>
      <c r="D94" s="28" t="s">
        <v>319</v>
      </c>
    </row>
    <row r="95" spans="3:17" ht="18" x14ac:dyDescent="0.25">
      <c r="C95" s="35" t="s">
        <v>12</v>
      </c>
      <c r="D95" s="28" t="s">
        <v>124</v>
      </c>
    </row>
    <row r="96" spans="3:17" ht="18" x14ac:dyDescent="0.25">
      <c r="C96" s="35" t="s">
        <v>70</v>
      </c>
      <c r="D96" s="28" t="s">
        <v>320</v>
      </c>
    </row>
    <row r="97" spans="3:4" ht="18" x14ac:dyDescent="0.25">
      <c r="C97" s="35" t="s">
        <v>71</v>
      </c>
      <c r="D97" s="41" t="s">
        <v>321</v>
      </c>
    </row>
    <row r="98" spans="3:4" ht="18" x14ac:dyDescent="0.25">
      <c r="C98" s="35" t="s">
        <v>217</v>
      </c>
      <c r="D98" s="41" t="s">
        <v>308</v>
      </c>
    </row>
    <row r="99" spans="3:4" ht="18" x14ac:dyDescent="0.25">
      <c r="C99" s="35" t="s">
        <v>72</v>
      </c>
      <c r="D99" s="28" t="s">
        <v>322</v>
      </c>
    </row>
    <row r="100" spans="3:4" ht="30" x14ac:dyDescent="0.25">
      <c r="C100" s="35" t="s">
        <v>11</v>
      </c>
      <c r="D100" s="28" t="s">
        <v>323</v>
      </c>
    </row>
    <row r="101" spans="3:4" ht="18" x14ac:dyDescent="0.25">
      <c r="C101" s="35" t="s">
        <v>15</v>
      </c>
      <c r="D101" s="28" t="s">
        <v>223</v>
      </c>
    </row>
  </sheetData>
  <hyperlinks>
    <hyperlink ref="D7" r:id="rId1" xr:uid="{3C54ED50-DCFE-4622-8B20-C4EAE1A9C49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9E0C-6D7F-431B-A8EE-D2D5CAD70543}">
  <dimension ref="A2:AA28"/>
  <sheetViews>
    <sheetView workbookViewId="0">
      <selection activeCell="J11" sqref="J11"/>
    </sheetView>
  </sheetViews>
  <sheetFormatPr baseColWidth="10" defaultRowHeight="15" x14ac:dyDescent="0.25"/>
  <cols>
    <col min="1" max="1" width="20.42578125" customWidth="1"/>
    <col min="3" max="3" width="17.28515625" customWidth="1"/>
    <col min="12" max="12" width="19" customWidth="1"/>
  </cols>
  <sheetData>
    <row r="2" spans="1:27" ht="23.25" x14ac:dyDescent="0.25">
      <c r="A2" s="20" t="s">
        <v>73</v>
      </c>
      <c r="C2" s="59" t="s">
        <v>90</v>
      </c>
      <c r="D2" s="60"/>
      <c r="E2" s="60"/>
      <c r="F2" s="60"/>
      <c r="G2" s="60"/>
      <c r="H2" s="60"/>
      <c r="I2" s="61"/>
      <c r="L2" s="59" t="s">
        <v>105</v>
      </c>
      <c r="M2" s="60"/>
      <c r="N2" s="60"/>
      <c r="O2" s="60"/>
      <c r="P2" s="60"/>
      <c r="Q2" s="60"/>
      <c r="R2" s="61"/>
      <c r="U2" s="59" t="s">
        <v>116</v>
      </c>
      <c r="V2" s="60"/>
      <c r="W2" s="60"/>
      <c r="X2" s="60"/>
      <c r="Y2" s="60"/>
      <c r="Z2" s="60"/>
      <c r="AA2" s="61"/>
    </row>
    <row r="3" spans="1:27" ht="45" x14ac:dyDescent="0.25">
      <c r="A3" s="26" t="s">
        <v>122</v>
      </c>
      <c r="C3" s="20" t="s">
        <v>121</v>
      </c>
      <c r="D3" s="19" t="s">
        <v>74</v>
      </c>
      <c r="E3" s="19" t="s">
        <v>75</v>
      </c>
      <c r="F3" s="19" t="s">
        <v>76</v>
      </c>
      <c r="G3" s="19" t="s">
        <v>77</v>
      </c>
      <c r="H3" s="19" t="s">
        <v>78</v>
      </c>
      <c r="I3" s="21" t="s">
        <v>39</v>
      </c>
      <c r="L3" s="20" t="s">
        <v>121</v>
      </c>
      <c r="M3" s="19" t="s">
        <v>74</v>
      </c>
      <c r="N3" s="19" t="s">
        <v>75</v>
      </c>
      <c r="O3" s="19" t="s">
        <v>76</v>
      </c>
      <c r="P3" s="19" t="s">
        <v>77</v>
      </c>
      <c r="Q3" s="19" t="s">
        <v>78</v>
      </c>
      <c r="R3" s="21" t="s">
        <v>39</v>
      </c>
      <c r="U3" s="20" t="s">
        <v>121</v>
      </c>
      <c r="V3" s="19" t="s">
        <v>74</v>
      </c>
      <c r="W3" s="19" t="s">
        <v>75</v>
      </c>
      <c r="X3" s="19" t="s">
        <v>76</v>
      </c>
      <c r="Y3" s="19" t="s">
        <v>77</v>
      </c>
      <c r="Z3" s="19" t="s">
        <v>78</v>
      </c>
      <c r="AA3" s="21" t="s">
        <v>39</v>
      </c>
    </row>
    <row r="4" spans="1:27" ht="30" x14ac:dyDescent="0.25">
      <c r="C4" s="18" t="s">
        <v>84</v>
      </c>
      <c r="D4" s="15" t="s">
        <v>80</v>
      </c>
      <c r="E4" s="15">
        <v>10</v>
      </c>
      <c r="F4" s="15">
        <v>10</v>
      </c>
      <c r="G4" s="15">
        <v>0</v>
      </c>
      <c r="H4" s="15">
        <v>103</v>
      </c>
      <c r="I4" s="15">
        <v>0</v>
      </c>
      <c r="L4" s="18" t="s">
        <v>99</v>
      </c>
      <c r="M4" s="15" t="s">
        <v>80</v>
      </c>
      <c r="N4" s="15">
        <v>10</v>
      </c>
      <c r="O4" s="15">
        <v>10</v>
      </c>
      <c r="P4" s="15">
        <v>0</v>
      </c>
      <c r="Q4" s="15">
        <v>151</v>
      </c>
      <c r="R4" s="15">
        <v>0</v>
      </c>
      <c r="U4" s="18" t="s">
        <v>117</v>
      </c>
      <c r="V4" s="15" t="s">
        <v>118</v>
      </c>
      <c r="W4" s="15">
        <v>10</v>
      </c>
      <c r="X4" s="15">
        <v>10</v>
      </c>
      <c r="Y4" s="15">
        <v>0</v>
      </c>
      <c r="Z4" s="15">
        <v>131</v>
      </c>
      <c r="AA4" s="15">
        <v>0</v>
      </c>
    </row>
    <row r="5" spans="1:27" x14ac:dyDescent="0.25">
      <c r="C5" s="17" t="s">
        <v>85</v>
      </c>
      <c r="D5" t="s">
        <v>80</v>
      </c>
      <c r="E5">
        <v>10</v>
      </c>
      <c r="F5">
        <v>10</v>
      </c>
      <c r="G5">
        <v>0</v>
      </c>
      <c r="H5">
        <v>172</v>
      </c>
      <c r="I5">
        <v>0</v>
      </c>
      <c r="L5" s="17" t="s">
        <v>100</v>
      </c>
      <c r="M5" t="s">
        <v>79</v>
      </c>
      <c r="N5">
        <v>10</v>
      </c>
      <c r="O5">
        <v>10</v>
      </c>
      <c r="P5">
        <v>0</v>
      </c>
      <c r="Q5">
        <v>104</v>
      </c>
      <c r="R5">
        <v>0</v>
      </c>
    </row>
    <row r="6" spans="1:27" ht="30" x14ac:dyDescent="0.25">
      <c r="C6" s="18" t="s">
        <v>87</v>
      </c>
      <c r="D6" s="15" t="s">
        <v>80</v>
      </c>
      <c r="E6" s="15">
        <v>10</v>
      </c>
      <c r="F6" s="15">
        <v>10</v>
      </c>
      <c r="G6" s="15">
        <v>0</v>
      </c>
      <c r="H6" s="15">
        <v>150</v>
      </c>
      <c r="I6" s="15">
        <v>0</v>
      </c>
      <c r="L6" s="18" t="s">
        <v>101</v>
      </c>
      <c r="M6" s="15" t="s">
        <v>80</v>
      </c>
      <c r="N6" s="15">
        <v>10</v>
      </c>
      <c r="O6" s="15">
        <v>10</v>
      </c>
      <c r="P6" s="15">
        <v>0</v>
      </c>
      <c r="Q6" s="15">
        <v>157</v>
      </c>
      <c r="R6" s="15">
        <v>0</v>
      </c>
    </row>
    <row r="7" spans="1:27" x14ac:dyDescent="0.25">
      <c r="C7" s="17" t="s">
        <v>86</v>
      </c>
      <c r="D7" t="s">
        <v>79</v>
      </c>
      <c r="E7">
        <v>10</v>
      </c>
      <c r="F7">
        <v>10</v>
      </c>
      <c r="G7">
        <v>0</v>
      </c>
      <c r="H7">
        <v>150</v>
      </c>
      <c r="I7">
        <v>0</v>
      </c>
      <c r="L7" s="17" t="s">
        <v>102</v>
      </c>
      <c r="M7" t="s">
        <v>81</v>
      </c>
      <c r="N7">
        <v>10</v>
      </c>
      <c r="O7">
        <v>10</v>
      </c>
      <c r="P7">
        <v>0</v>
      </c>
      <c r="Q7">
        <v>157</v>
      </c>
      <c r="R7">
        <v>0</v>
      </c>
    </row>
    <row r="8" spans="1:27" ht="30" x14ac:dyDescent="0.25">
      <c r="C8" s="18" t="s">
        <v>88</v>
      </c>
      <c r="D8" s="15" t="s">
        <v>89</v>
      </c>
      <c r="E8" s="15">
        <f>SUM(E4:E7)</f>
        <v>40</v>
      </c>
      <c r="F8" s="15">
        <f>SUM(F4:F7)</f>
        <v>40</v>
      </c>
      <c r="G8" s="15">
        <f>SUM(G4:G7)</f>
        <v>0</v>
      </c>
      <c r="H8" s="15">
        <f>SUM(H4:H7)/4</f>
        <v>143.75</v>
      </c>
      <c r="I8" s="15">
        <f>SUM(I4:I7)</f>
        <v>0</v>
      </c>
      <c r="L8" s="18" t="s">
        <v>103</v>
      </c>
      <c r="M8" s="15" t="s">
        <v>79</v>
      </c>
      <c r="N8" s="15">
        <v>10</v>
      </c>
      <c r="O8" s="15">
        <v>10</v>
      </c>
      <c r="P8" s="15">
        <v>0</v>
      </c>
      <c r="Q8" s="15">
        <v>108</v>
      </c>
      <c r="R8" s="15">
        <v>0</v>
      </c>
    </row>
    <row r="9" spans="1:27" x14ac:dyDescent="0.25">
      <c r="L9" s="17" t="s">
        <v>104</v>
      </c>
      <c r="M9" t="s">
        <v>83</v>
      </c>
      <c r="N9">
        <v>10</v>
      </c>
      <c r="O9">
        <v>10</v>
      </c>
      <c r="P9">
        <v>0</v>
      </c>
      <c r="Q9">
        <v>155</v>
      </c>
      <c r="R9">
        <v>0</v>
      </c>
    </row>
    <row r="10" spans="1:27" x14ac:dyDescent="0.25">
      <c r="L10" s="18" t="s">
        <v>88</v>
      </c>
      <c r="M10" s="15" t="s">
        <v>89</v>
      </c>
      <c r="N10" s="15">
        <f>SUM(N4:N9)</f>
        <v>60</v>
      </c>
      <c r="O10" s="15">
        <f>SUM(O4:O9)</f>
        <v>60</v>
      </c>
      <c r="P10" s="15">
        <f>SUM(P4:P9)</f>
        <v>0</v>
      </c>
      <c r="Q10" s="25">
        <f>SUM(Q4:Q9)/6</f>
        <v>138.66666666666666</v>
      </c>
      <c r="R10" s="15">
        <f>SUM(R4:R9)</f>
        <v>0</v>
      </c>
    </row>
    <row r="11" spans="1:27" ht="23.25" x14ac:dyDescent="0.25">
      <c r="C11" s="59" t="s">
        <v>91</v>
      </c>
      <c r="D11" s="60"/>
      <c r="E11" s="60"/>
      <c r="F11" s="60"/>
      <c r="G11" s="60"/>
      <c r="H11" s="60"/>
      <c r="I11" s="61"/>
    </row>
    <row r="12" spans="1:27" ht="24" x14ac:dyDescent="0.25">
      <c r="C12" s="20" t="s">
        <v>121</v>
      </c>
      <c r="D12" s="19" t="s">
        <v>74</v>
      </c>
      <c r="E12" s="19" t="s">
        <v>75</v>
      </c>
      <c r="F12" s="19" t="s">
        <v>76</v>
      </c>
      <c r="G12" s="19" t="s">
        <v>77</v>
      </c>
      <c r="H12" s="19" t="s">
        <v>78</v>
      </c>
      <c r="I12" s="21" t="s">
        <v>39</v>
      </c>
    </row>
    <row r="13" spans="1:27" ht="23.25" x14ac:dyDescent="0.25">
      <c r="C13" s="18" t="s">
        <v>92</v>
      </c>
      <c r="D13" s="15" t="s">
        <v>79</v>
      </c>
      <c r="E13" s="15">
        <v>10</v>
      </c>
      <c r="F13" s="15">
        <v>10</v>
      </c>
      <c r="G13" s="15">
        <v>0</v>
      </c>
      <c r="H13" s="15">
        <v>150</v>
      </c>
      <c r="I13" s="15">
        <v>0</v>
      </c>
      <c r="L13" s="59" t="s">
        <v>111</v>
      </c>
      <c r="M13" s="60"/>
      <c r="N13" s="60"/>
      <c r="O13" s="60"/>
      <c r="P13" s="60"/>
      <c r="Q13" s="60"/>
      <c r="R13" s="61"/>
    </row>
    <row r="14" spans="1:27" ht="24" x14ac:dyDescent="0.25">
      <c r="C14" s="17" t="s">
        <v>93</v>
      </c>
      <c r="D14" t="s">
        <v>80</v>
      </c>
      <c r="E14">
        <v>10</v>
      </c>
      <c r="F14">
        <v>10</v>
      </c>
      <c r="G14">
        <v>0</v>
      </c>
      <c r="H14">
        <v>104</v>
      </c>
      <c r="I14">
        <v>0</v>
      </c>
      <c r="L14" s="20" t="s">
        <v>121</v>
      </c>
      <c r="M14" s="19" t="s">
        <v>74</v>
      </c>
      <c r="N14" s="19" t="s">
        <v>75</v>
      </c>
      <c r="O14" s="19" t="s">
        <v>76</v>
      </c>
      <c r="P14" s="19" t="s">
        <v>77</v>
      </c>
      <c r="Q14" s="19" t="s">
        <v>78</v>
      </c>
      <c r="R14" s="21" t="s">
        <v>39</v>
      </c>
    </row>
    <row r="15" spans="1:27" ht="30" x14ac:dyDescent="0.25">
      <c r="C15" s="18" t="s">
        <v>94</v>
      </c>
      <c r="D15" s="15" t="s">
        <v>81</v>
      </c>
      <c r="E15" s="15">
        <v>10</v>
      </c>
      <c r="F15" s="15">
        <v>10</v>
      </c>
      <c r="G15" s="15">
        <v>0</v>
      </c>
      <c r="H15" s="15">
        <v>109</v>
      </c>
      <c r="I15" s="15">
        <v>0</v>
      </c>
      <c r="L15" s="18" t="s">
        <v>106</v>
      </c>
      <c r="M15" s="15" t="s">
        <v>81</v>
      </c>
      <c r="N15" s="15">
        <v>10</v>
      </c>
      <c r="O15" s="15">
        <v>10</v>
      </c>
      <c r="P15" s="15">
        <v>0</v>
      </c>
      <c r="Q15" s="15">
        <v>150</v>
      </c>
      <c r="R15" s="15">
        <v>0</v>
      </c>
    </row>
    <row r="16" spans="1:27" ht="30" x14ac:dyDescent="0.25">
      <c r="C16" s="17" t="s">
        <v>95</v>
      </c>
      <c r="D16" t="s">
        <v>83</v>
      </c>
      <c r="E16">
        <v>10</v>
      </c>
      <c r="F16">
        <v>0</v>
      </c>
      <c r="G16">
        <v>10</v>
      </c>
      <c r="H16">
        <v>131</v>
      </c>
      <c r="I16">
        <v>0</v>
      </c>
      <c r="L16" s="17" t="s">
        <v>107</v>
      </c>
      <c r="M16" t="s">
        <v>82</v>
      </c>
      <c r="N16">
        <v>10</v>
      </c>
      <c r="O16">
        <v>10</v>
      </c>
      <c r="P16">
        <v>0</v>
      </c>
      <c r="Q16">
        <v>155</v>
      </c>
      <c r="R16">
        <v>0</v>
      </c>
    </row>
    <row r="17" spans="3:18" ht="30" x14ac:dyDescent="0.25">
      <c r="C17" s="18" t="s">
        <v>88</v>
      </c>
      <c r="D17" s="15" t="s">
        <v>89</v>
      </c>
      <c r="E17" s="15">
        <f>SUM(E13:E16)</f>
        <v>40</v>
      </c>
      <c r="F17" s="15">
        <f>SUM(F13:F16)</f>
        <v>30</v>
      </c>
      <c r="G17" s="15">
        <f>SUM(G13:G16)</f>
        <v>10</v>
      </c>
      <c r="H17" s="15">
        <f>SUM(H13:H16)/4</f>
        <v>123.5</v>
      </c>
      <c r="I17" s="15">
        <f>SUM(I13:I16)</f>
        <v>0</v>
      </c>
      <c r="L17" s="18" t="s">
        <v>108</v>
      </c>
      <c r="M17" s="15" t="s">
        <v>83</v>
      </c>
      <c r="N17" s="15">
        <v>10</v>
      </c>
      <c r="O17" s="15">
        <v>10</v>
      </c>
      <c r="P17" s="15">
        <v>0</v>
      </c>
      <c r="Q17" s="15">
        <v>155</v>
      </c>
      <c r="R17" s="15">
        <v>0</v>
      </c>
    </row>
    <row r="18" spans="3:18" x14ac:dyDescent="0.25">
      <c r="L18" s="17" t="s">
        <v>109</v>
      </c>
      <c r="M18" t="s">
        <v>81</v>
      </c>
      <c r="N18">
        <v>10</v>
      </c>
      <c r="O18">
        <v>10</v>
      </c>
      <c r="P18">
        <v>0</v>
      </c>
      <c r="Q18">
        <v>149</v>
      </c>
      <c r="R18">
        <v>0</v>
      </c>
    </row>
    <row r="19" spans="3:18" ht="30" x14ac:dyDescent="0.25">
      <c r="L19" s="18" t="s">
        <v>110</v>
      </c>
      <c r="M19" s="15" t="s">
        <v>83</v>
      </c>
      <c r="N19" s="15">
        <v>10</v>
      </c>
      <c r="O19" s="15">
        <v>10</v>
      </c>
      <c r="P19" s="15">
        <v>0</v>
      </c>
      <c r="Q19" s="15">
        <v>150</v>
      </c>
      <c r="R19" s="15">
        <v>0</v>
      </c>
    </row>
    <row r="20" spans="3:18" ht="23.25" x14ac:dyDescent="0.25">
      <c r="C20" s="59" t="s">
        <v>96</v>
      </c>
      <c r="D20" s="60"/>
      <c r="E20" s="60"/>
      <c r="F20" s="60"/>
      <c r="G20" s="60"/>
      <c r="H20" s="60"/>
      <c r="I20" s="61"/>
      <c r="L20" s="22" t="s">
        <v>88</v>
      </c>
      <c r="M20" s="23" t="s">
        <v>89</v>
      </c>
      <c r="N20" s="23">
        <f>SUM(N15:N19)</f>
        <v>50</v>
      </c>
      <c r="O20" s="23">
        <f>SUM(O15:O19)</f>
        <v>50</v>
      </c>
      <c r="P20" s="23">
        <f>SUM(P15:P19)</f>
        <v>0</v>
      </c>
      <c r="Q20" s="23">
        <f>SUM(Q15:Q19)/5</f>
        <v>151.80000000000001</v>
      </c>
      <c r="R20" s="23">
        <f>SUM(R15:R19)</f>
        <v>0</v>
      </c>
    </row>
    <row r="21" spans="3:18" ht="24" x14ac:dyDescent="0.25">
      <c r="C21" s="20" t="s">
        <v>121</v>
      </c>
      <c r="D21" s="19" t="s">
        <v>74</v>
      </c>
      <c r="E21" s="19" t="s">
        <v>75</v>
      </c>
      <c r="F21" s="19" t="s">
        <v>76</v>
      </c>
      <c r="G21" s="19" t="s">
        <v>77</v>
      </c>
      <c r="H21" s="19" t="s">
        <v>78</v>
      </c>
      <c r="I21" s="21" t="s">
        <v>39</v>
      </c>
    </row>
    <row r="22" spans="3:18" ht="30" x14ac:dyDescent="0.25">
      <c r="C22" s="18" t="s">
        <v>97</v>
      </c>
      <c r="D22" s="15" t="s">
        <v>80</v>
      </c>
      <c r="E22" s="15">
        <v>10</v>
      </c>
      <c r="F22" s="15">
        <v>10</v>
      </c>
      <c r="G22" s="15">
        <v>0</v>
      </c>
      <c r="H22" s="15">
        <v>107</v>
      </c>
      <c r="I22" s="15">
        <v>0</v>
      </c>
    </row>
    <row r="23" spans="3:18" ht="30" x14ac:dyDescent="0.25">
      <c r="C23" s="17" t="s">
        <v>98</v>
      </c>
      <c r="D23" t="s">
        <v>80</v>
      </c>
      <c r="E23">
        <v>10</v>
      </c>
      <c r="F23">
        <v>10</v>
      </c>
      <c r="G23">
        <v>0</v>
      </c>
      <c r="H23">
        <v>148</v>
      </c>
      <c r="I23">
        <v>0</v>
      </c>
      <c r="L23" s="59" t="s">
        <v>112</v>
      </c>
      <c r="M23" s="60"/>
      <c r="N23" s="60"/>
      <c r="O23" s="60"/>
      <c r="P23" s="60"/>
      <c r="Q23" s="60"/>
      <c r="R23" s="61"/>
    </row>
    <row r="24" spans="3:18" ht="24" x14ac:dyDescent="0.25">
      <c r="C24" s="18" t="s">
        <v>94</v>
      </c>
      <c r="D24" s="15" t="s">
        <v>80</v>
      </c>
      <c r="E24" s="15">
        <v>10</v>
      </c>
      <c r="F24" s="15">
        <v>10</v>
      </c>
      <c r="G24" s="15">
        <v>0</v>
      </c>
      <c r="H24" s="15">
        <v>107</v>
      </c>
      <c r="I24" s="15">
        <v>0</v>
      </c>
      <c r="L24" s="20" t="s">
        <v>121</v>
      </c>
      <c r="M24" s="19" t="s">
        <v>74</v>
      </c>
      <c r="N24" s="19" t="s">
        <v>75</v>
      </c>
      <c r="O24" s="19" t="s">
        <v>76</v>
      </c>
      <c r="P24" s="19" t="s">
        <v>77</v>
      </c>
      <c r="Q24" s="19" t="s">
        <v>78</v>
      </c>
      <c r="R24" s="21" t="s">
        <v>39</v>
      </c>
    </row>
    <row r="25" spans="3:18" x14ac:dyDescent="0.25">
      <c r="C25" s="22" t="s">
        <v>88</v>
      </c>
      <c r="D25" s="23" t="s">
        <v>89</v>
      </c>
      <c r="E25" s="23">
        <f>SUM(E22:E24)</f>
        <v>30</v>
      </c>
      <c r="F25" s="23">
        <f>SUM(F22:F24)</f>
        <v>30</v>
      </c>
      <c r="G25" s="23">
        <f>SUM(G22:G24)</f>
        <v>0</v>
      </c>
      <c r="H25" s="24">
        <f>SUM(H22:H24)/3</f>
        <v>120.66666666666667</v>
      </c>
      <c r="I25" s="23">
        <f>SUM(I22:I24)</f>
        <v>0</v>
      </c>
      <c r="L25" s="18" t="s">
        <v>113</v>
      </c>
      <c r="M25" s="15" t="s">
        <v>80</v>
      </c>
      <c r="N25" s="15">
        <v>10</v>
      </c>
      <c r="O25" s="15">
        <v>10</v>
      </c>
      <c r="P25" s="15">
        <v>0</v>
      </c>
      <c r="Q25" s="15">
        <v>106</v>
      </c>
      <c r="R25" s="15">
        <v>0</v>
      </c>
    </row>
    <row r="26" spans="3:18" x14ac:dyDescent="0.25">
      <c r="L26" s="17" t="s">
        <v>114</v>
      </c>
      <c r="M26" t="s">
        <v>80</v>
      </c>
      <c r="N26">
        <v>10</v>
      </c>
      <c r="O26">
        <v>10</v>
      </c>
      <c r="P26">
        <v>0</v>
      </c>
      <c r="Q26">
        <v>106</v>
      </c>
      <c r="R26">
        <v>0</v>
      </c>
    </row>
    <row r="27" spans="3:18" x14ac:dyDescent="0.25">
      <c r="L27" s="18" t="s">
        <v>115</v>
      </c>
      <c r="M27" s="15" t="s">
        <v>79</v>
      </c>
      <c r="N27" s="15">
        <v>10</v>
      </c>
      <c r="O27" s="15">
        <v>10</v>
      </c>
      <c r="P27" s="15">
        <v>0</v>
      </c>
      <c r="Q27" s="15">
        <v>154</v>
      </c>
      <c r="R27" s="15">
        <v>0</v>
      </c>
    </row>
    <row r="28" spans="3:18" x14ac:dyDescent="0.25">
      <c r="L28" s="22" t="s">
        <v>88</v>
      </c>
      <c r="M28" s="23" t="s">
        <v>89</v>
      </c>
      <c r="N28" s="23">
        <f>SUM(N25:N27)</f>
        <v>30</v>
      </c>
      <c r="O28" s="23">
        <f>SUM(O25:O27)</f>
        <v>30</v>
      </c>
      <c r="P28" s="23">
        <f>SUM(P25:P27)</f>
        <v>0</v>
      </c>
      <c r="Q28" s="23">
        <f>SUM(Q25:Q27)/3</f>
        <v>122</v>
      </c>
      <c r="R28" s="23">
        <f>SUM(R25:R27)</f>
        <v>0</v>
      </c>
    </row>
  </sheetData>
  <mergeCells count="7">
    <mergeCell ref="L23:R23"/>
    <mergeCell ref="U2:AA2"/>
    <mergeCell ref="C2:I2"/>
    <mergeCell ref="C11:I11"/>
    <mergeCell ref="C20:I20"/>
    <mergeCell ref="L2:R2"/>
    <mergeCell ref="L13:R13"/>
  </mergeCells>
  <hyperlinks>
    <hyperlink ref="A3" r:id="rId1" xr:uid="{96AA44E6-020E-4B98-999F-7DA073B59AF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3B1E4-D813-4E13-AC3B-55E01A1F3779}">
  <dimension ref="A3:I35"/>
  <sheetViews>
    <sheetView tabSelected="1" zoomScale="86" zoomScaleNormal="86" workbookViewId="0">
      <selection activeCell="A4" sqref="A4"/>
    </sheetView>
  </sheetViews>
  <sheetFormatPr baseColWidth="10" defaultRowHeight="15" x14ac:dyDescent="0.25"/>
  <cols>
    <col min="3" max="3" width="17.5703125" bestFit="1" customWidth="1"/>
    <col min="5" max="5" width="25.7109375" customWidth="1"/>
    <col min="8" max="8" width="29.28515625" customWidth="1"/>
    <col min="9" max="9" width="14.7109375" customWidth="1"/>
  </cols>
  <sheetData>
    <row r="3" spans="1:9" ht="18.75" x14ac:dyDescent="0.3">
      <c r="A3" t="s">
        <v>120</v>
      </c>
      <c r="C3" s="56" t="s">
        <v>20</v>
      </c>
      <c r="D3" s="56"/>
      <c r="E3" s="56"/>
      <c r="F3" s="56"/>
      <c r="G3" s="56"/>
      <c r="H3" s="56"/>
      <c r="I3" s="56"/>
    </row>
    <row r="4" spans="1:9" x14ac:dyDescent="0.25">
      <c r="C4" s="57"/>
      <c r="D4" s="57"/>
      <c r="E4" s="57"/>
      <c r="F4" s="57"/>
      <c r="G4" s="57"/>
      <c r="H4" s="57"/>
      <c r="I4" s="57"/>
    </row>
    <row r="5" spans="1:9" ht="15.75" x14ac:dyDescent="0.25">
      <c r="C5" s="6" t="s">
        <v>21</v>
      </c>
      <c r="D5" s="55" t="s">
        <v>50</v>
      </c>
      <c r="E5" s="55"/>
      <c r="F5" s="55"/>
      <c r="G5" s="55"/>
      <c r="H5" s="55"/>
      <c r="I5" s="55"/>
    </row>
    <row r="6" spans="1:9" ht="15.75" x14ac:dyDescent="0.25">
      <c r="C6" s="6" t="s">
        <v>22</v>
      </c>
      <c r="D6" s="58">
        <v>46095</v>
      </c>
      <c r="E6" s="55"/>
      <c r="F6" s="55"/>
      <c r="G6" s="55"/>
      <c r="H6" s="55"/>
      <c r="I6" s="55"/>
    </row>
    <row r="7" spans="1:9" ht="15.75" x14ac:dyDescent="0.25">
      <c r="C7" s="6" t="s">
        <v>23</v>
      </c>
      <c r="D7" s="55" t="s">
        <v>43</v>
      </c>
      <c r="E7" s="55"/>
      <c r="F7" s="55"/>
      <c r="G7" s="55"/>
      <c r="H7" s="55"/>
      <c r="I7" s="55"/>
    </row>
    <row r="8" spans="1:9" ht="15.75" x14ac:dyDescent="0.25">
      <c r="C8" s="6" t="s">
        <v>24</v>
      </c>
      <c r="D8" s="55" t="s">
        <v>25</v>
      </c>
      <c r="E8" s="55"/>
      <c r="F8" s="55"/>
      <c r="G8" s="55"/>
      <c r="H8" s="55"/>
      <c r="I8" s="55"/>
    </row>
    <row r="9" spans="1:9" ht="15.75" x14ac:dyDescent="0.25">
      <c r="C9" s="49" t="s">
        <v>44</v>
      </c>
      <c r="D9" s="49"/>
      <c r="E9" s="49"/>
      <c r="F9" s="49"/>
      <c r="G9" s="49"/>
      <c r="H9" s="49"/>
      <c r="I9" s="49"/>
    </row>
    <row r="10" spans="1:9" ht="15.75" x14ac:dyDescent="0.25">
      <c r="C10" s="9" t="s">
        <v>26</v>
      </c>
      <c r="D10" s="53" t="s">
        <v>27</v>
      </c>
      <c r="E10" s="53"/>
      <c r="F10" s="10" t="s">
        <v>15</v>
      </c>
      <c r="G10" s="53" t="s">
        <v>28</v>
      </c>
      <c r="H10" s="53"/>
      <c r="I10" s="53"/>
    </row>
    <row r="11" spans="1:9" ht="15.75" x14ac:dyDescent="0.25">
      <c r="C11" s="11" t="s">
        <v>1</v>
      </c>
      <c r="D11" s="52" t="s">
        <v>51</v>
      </c>
      <c r="E11" s="52"/>
      <c r="F11" s="11" t="s">
        <v>30</v>
      </c>
      <c r="G11" s="54" t="s">
        <v>32</v>
      </c>
      <c r="H11" s="54"/>
      <c r="I11" s="54"/>
    </row>
    <row r="12" spans="1:9" ht="15.75" x14ac:dyDescent="0.25">
      <c r="C12" s="11" t="s">
        <v>6</v>
      </c>
      <c r="D12" s="52" t="s">
        <v>52</v>
      </c>
      <c r="E12" s="52"/>
      <c r="F12" s="11" t="s">
        <v>31</v>
      </c>
      <c r="G12" s="54" t="s">
        <v>9</v>
      </c>
      <c r="H12" s="54"/>
      <c r="I12" s="54"/>
    </row>
    <row r="13" spans="1:9" ht="15.75" x14ac:dyDescent="0.25">
      <c r="C13" s="11" t="s">
        <v>7</v>
      </c>
      <c r="D13" s="52" t="s">
        <v>53</v>
      </c>
      <c r="E13" s="52"/>
      <c r="F13" s="11" t="s">
        <v>31</v>
      </c>
      <c r="G13" s="54" t="s">
        <v>18</v>
      </c>
      <c r="H13" s="54"/>
      <c r="I13" s="54"/>
    </row>
    <row r="14" spans="1:9" ht="15.75" x14ac:dyDescent="0.25">
      <c r="C14" s="11" t="s">
        <v>29</v>
      </c>
      <c r="D14" s="52" t="s">
        <v>54</v>
      </c>
      <c r="E14" s="52"/>
      <c r="F14" s="11" t="s">
        <v>30</v>
      </c>
      <c r="G14" s="54" t="s">
        <v>32</v>
      </c>
      <c r="H14" s="54"/>
      <c r="I14" s="54"/>
    </row>
    <row r="15" spans="1:9" ht="15.75" x14ac:dyDescent="0.25">
      <c r="C15" s="11" t="s">
        <v>8</v>
      </c>
      <c r="D15" s="52" t="s">
        <v>55</v>
      </c>
      <c r="E15" s="52"/>
      <c r="F15" s="11" t="s">
        <v>30</v>
      </c>
      <c r="G15" s="54" t="s">
        <v>32</v>
      </c>
      <c r="H15" s="54"/>
      <c r="I15" s="54"/>
    </row>
    <row r="16" spans="1:9" ht="15.75" x14ac:dyDescent="0.25">
      <c r="C16" s="49" t="s">
        <v>33</v>
      </c>
      <c r="D16" s="49"/>
      <c r="E16" s="49"/>
      <c r="F16" s="49"/>
      <c r="G16" s="49"/>
      <c r="H16" s="49"/>
      <c r="I16" s="49"/>
    </row>
    <row r="17" spans="3:9" ht="15.75" x14ac:dyDescent="0.25">
      <c r="C17" s="9" t="s">
        <v>26</v>
      </c>
      <c r="D17" s="45" t="s">
        <v>10</v>
      </c>
      <c r="E17" s="45"/>
      <c r="F17" s="12" t="s">
        <v>13</v>
      </c>
      <c r="G17" s="12" t="s">
        <v>14</v>
      </c>
      <c r="H17" s="12" t="s">
        <v>34</v>
      </c>
      <c r="I17" s="12" t="s">
        <v>15</v>
      </c>
    </row>
    <row r="18" spans="3:9" ht="45.75" customHeight="1" x14ac:dyDescent="0.25">
      <c r="C18" s="8" t="s">
        <v>9</v>
      </c>
      <c r="D18" s="51" t="s">
        <v>56</v>
      </c>
      <c r="E18" s="51"/>
      <c r="F18" s="7" t="s">
        <v>19</v>
      </c>
      <c r="G18" s="7" t="s">
        <v>19</v>
      </c>
      <c r="H18" s="7" t="s">
        <v>58</v>
      </c>
      <c r="I18" s="7" t="s">
        <v>17</v>
      </c>
    </row>
    <row r="19" spans="3:9" ht="53.25" customHeight="1" x14ac:dyDescent="0.25">
      <c r="C19" s="8" t="s">
        <v>18</v>
      </c>
      <c r="D19" s="51" t="s">
        <v>57</v>
      </c>
      <c r="E19" s="51"/>
      <c r="F19" s="7" t="s">
        <v>16</v>
      </c>
      <c r="G19" s="7" t="s">
        <v>16</v>
      </c>
      <c r="H19" s="7" t="s">
        <v>58</v>
      </c>
      <c r="I19" s="7" t="s">
        <v>17</v>
      </c>
    </row>
    <row r="20" spans="3:9" ht="15.75" x14ac:dyDescent="0.25">
      <c r="C20" s="49" t="s">
        <v>45</v>
      </c>
      <c r="D20" s="49"/>
      <c r="E20" s="49"/>
      <c r="F20" s="49"/>
      <c r="G20" s="49"/>
      <c r="H20" s="49"/>
      <c r="I20" s="49"/>
    </row>
    <row r="21" spans="3:9" ht="15.75" x14ac:dyDescent="0.25">
      <c r="C21" s="47" t="s">
        <v>46</v>
      </c>
      <c r="D21" s="47"/>
      <c r="E21" s="47"/>
      <c r="F21" s="50" t="s">
        <v>35</v>
      </c>
      <c r="G21" s="50"/>
      <c r="H21" s="50"/>
      <c r="I21" s="50"/>
    </row>
    <row r="22" spans="3:9" ht="15.75" x14ac:dyDescent="0.25">
      <c r="C22" s="47" t="s">
        <v>36</v>
      </c>
      <c r="D22" s="47"/>
      <c r="E22" s="47"/>
      <c r="F22" s="48">
        <v>5</v>
      </c>
      <c r="G22" s="48"/>
      <c r="H22" s="48"/>
      <c r="I22" s="48"/>
    </row>
    <row r="23" spans="3:9" ht="15.75" x14ac:dyDescent="0.25">
      <c r="C23" s="47" t="s">
        <v>37</v>
      </c>
      <c r="D23" s="47"/>
      <c r="E23" s="47"/>
      <c r="F23" s="48">
        <v>3</v>
      </c>
      <c r="G23" s="48"/>
      <c r="H23" s="48"/>
      <c r="I23" s="48"/>
    </row>
    <row r="24" spans="3:9" ht="15.75" x14ac:dyDescent="0.25">
      <c r="C24" s="47" t="s">
        <v>38</v>
      </c>
      <c r="D24" s="47"/>
      <c r="E24" s="47"/>
      <c r="F24" s="48">
        <v>2</v>
      </c>
      <c r="G24" s="48"/>
      <c r="H24" s="48"/>
      <c r="I24" s="48"/>
    </row>
    <row r="25" spans="3:9" ht="15.75" x14ac:dyDescent="0.25">
      <c r="C25" s="47" t="s">
        <v>39</v>
      </c>
      <c r="D25" s="47"/>
      <c r="E25" s="47"/>
      <c r="F25" s="48">
        <v>2</v>
      </c>
      <c r="G25" s="48"/>
      <c r="H25" s="48"/>
      <c r="I25" s="48"/>
    </row>
    <row r="26" spans="3:9" ht="15.75" x14ac:dyDescent="0.25">
      <c r="C26" s="47" t="s">
        <v>40</v>
      </c>
      <c r="D26" s="47"/>
      <c r="E26" s="47"/>
      <c r="F26" s="48">
        <v>1</v>
      </c>
      <c r="G26" s="48"/>
      <c r="H26" s="48"/>
      <c r="I26" s="48"/>
    </row>
    <row r="27" spans="3:9" ht="15.75" x14ac:dyDescent="0.25">
      <c r="C27" s="47" t="s">
        <v>41</v>
      </c>
      <c r="D27" s="47"/>
      <c r="E27" s="47"/>
      <c r="F27" s="48">
        <v>1</v>
      </c>
      <c r="G27" s="48"/>
      <c r="H27" s="48"/>
      <c r="I27" s="48"/>
    </row>
    <row r="28" spans="3:9" ht="15.75" x14ac:dyDescent="0.25">
      <c r="C28" s="49" t="s">
        <v>47</v>
      </c>
      <c r="D28" s="49"/>
      <c r="E28" s="49"/>
      <c r="F28" s="49"/>
      <c r="G28" s="49"/>
      <c r="H28" s="49"/>
      <c r="I28" s="49"/>
    </row>
    <row r="29" spans="3:9" ht="15.75" x14ac:dyDescent="0.25">
      <c r="C29" s="46" t="s">
        <v>26</v>
      </c>
      <c r="D29" s="46"/>
      <c r="E29" s="46"/>
      <c r="F29" s="45" t="s">
        <v>42</v>
      </c>
      <c r="G29" s="45"/>
      <c r="H29" s="45"/>
      <c r="I29" s="45"/>
    </row>
    <row r="30" spans="3:9" ht="51.75" customHeight="1" x14ac:dyDescent="0.25">
      <c r="C30" s="44" t="s">
        <v>1</v>
      </c>
      <c r="D30" s="44"/>
      <c r="E30" s="44"/>
      <c r="F30" s="43" t="s">
        <v>59</v>
      </c>
      <c r="G30" s="43"/>
      <c r="H30" s="43"/>
      <c r="I30" s="43"/>
    </row>
    <row r="31" spans="3:9" ht="48.75" customHeight="1" x14ac:dyDescent="0.25">
      <c r="C31" s="44" t="s">
        <v>6</v>
      </c>
      <c r="D31" s="44"/>
      <c r="E31" s="44"/>
      <c r="F31" s="43" t="s">
        <v>60</v>
      </c>
      <c r="G31" s="43"/>
      <c r="H31" s="43"/>
      <c r="I31" s="43"/>
    </row>
    <row r="32" spans="3:9" ht="48" customHeight="1" x14ac:dyDescent="0.25">
      <c r="C32" s="42" t="s">
        <v>7</v>
      </c>
      <c r="D32" s="42"/>
      <c r="E32" s="42"/>
      <c r="F32" s="43" t="s">
        <v>61</v>
      </c>
      <c r="G32" s="43"/>
      <c r="H32" s="43"/>
      <c r="I32" s="43"/>
    </row>
    <row r="33" spans="3:9" ht="44.25" customHeight="1" x14ac:dyDescent="0.25">
      <c r="C33" s="42" t="s">
        <v>29</v>
      </c>
      <c r="D33" s="42"/>
      <c r="E33" s="42"/>
      <c r="F33" s="43" t="s">
        <v>62</v>
      </c>
      <c r="G33" s="43"/>
      <c r="H33" s="43"/>
      <c r="I33" s="43"/>
    </row>
    <row r="34" spans="3:9" ht="39.75" customHeight="1" x14ac:dyDescent="0.25">
      <c r="C34" s="42" t="s">
        <v>8</v>
      </c>
      <c r="D34" s="42"/>
      <c r="E34" s="42"/>
      <c r="F34" s="43" t="s">
        <v>63</v>
      </c>
      <c r="G34" s="43"/>
      <c r="H34" s="43"/>
      <c r="I34" s="43"/>
    </row>
    <row r="35" spans="3:9" ht="15" customHeight="1" x14ac:dyDescent="0.25"/>
  </sheetData>
  <mergeCells count="51">
    <mergeCell ref="D8:I8"/>
    <mergeCell ref="C3:I3"/>
    <mergeCell ref="C4:I4"/>
    <mergeCell ref="D5:I5"/>
    <mergeCell ref="D6:I6"/>
    <mergeCell ref="D7:I7"/>
    <mergeCell ref="C9:I9"/>
    <mergeCell ref="D10:E10"/>
    <mergeCell ref="D11:E11"/>
    <mergeCell ref="D12:E12"/>
    <mergeCell ref="D13:E13"/>
    <mergeCell ref="D15:E15"/>
    <mergeCell ref="G10:I10"/>
    <mergeCell ref="G11:I11"/>
    <mergeCell ref="G13:I13"/>
    <mergeCell ref="G12:I12"/>
    <mergeCell ref="G15:I15"/>
    <mergeCell ref="D14:E14"/>
    <mergeCell ref="G14:I14"/>
    <mergeCell ref="C20:I20"/>
    <mergeCell ref="C16:I16"/>
    <mergeCell ref="D18:E18"/>
    <mergeCell ref="D19:E19"/>
    <mergeCell ref="D17:E17"/>
    <mergeCell ref="F21:I21"/>
    <mergeCell ref="C21:E21"/>
    <mergeCell ref="C22:E22"/>
    <mergeCell ref="F22:I22"/>
    <mergeCell ref="C23:E23"/>
    <mergeCell ref="F23:I23"/>
    <mergeCell ref="F29:I29"/>
    <mergeCell ref="C29:E29"/>
    <mergeCell ref="C24:E24"/>
    <mergeCell ref="F24:I24"/>
    <mergeCell ref="C25:E25"/>
    <mergeCell ref="F25:I25"/>
    <mergeCell ref="C26:E26"/>
    <mergeCell ref="F26:I26"/>
    <mergeCell ref="C27:E27"/>
    <mergeCell ref="F27:I27"/>
    <mergeCell ref="C28:I28"/>
    <mergeCell ref="C33:E33"/>
    <mergeCell ref="F33:I33"/>
    <mergeCell ref="C34:E34"/>
    <mergeCell ref="F34:I34"/>
    <mergeCell ref="C30:E30"/>
    <mergeCell ref="F30:I30"/>
    <mergeCell ref="C31:E31"/>
    <mergeCell ref="F31:I31"/>
    <mergeCell ref="C32:E32"/>
    <mergeCell ref="F32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CasosPrueba</vt:lpstr>
      <vt:lpstr>Reporte formal-plantilla</vt:lpstr>
      <vt:lpstr>Plantilla de Endpoint Evaluado</vt:lpstr>
      <vt:lpstr>Resumen_Ejecutivo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Cuenta</dc:creator>
  <cp:lastModifiedBy>Christopher Ruiz Calderón</cp:lastModifiedBy>
  <cp:lastPrinted>2026-02-04T21:44:28Z</cp:lastPrinted>
  <dcterms:created xsi:type="dcterms:W3CDTF">2026-02-04T21:14:00Z</dcterms:created>
  <dcterms:modified xsi:type="dcterms:W3CDTF">2026-05-01T08:50:06Z</dcterms:modified>
</cp:coreProperties>
</file>